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D" sheetId="1" r:id="rId4"/>
    <sheet state="visible" name="Parcial - Prestação de contas" sheetId="2" r:id="rId5"/>
    <sheet state="visible" name="Juizes" sheetId="3" r:id="rId6"/>
  </sheets>
  <definedNames>
    <definedName hidden="1" localSheetId="0" name="_xlnm._FilterDatabase">BD!$A$1:$P$1000</definedName>
  </definedNames>
  <calcPr/>
</workbook>
</file>

<file path=xl/sharedStrings.xml><?xml version="1.0" encoding="utf-8"?>
<sst xmlns="http://schemas.openxmlformats.org/spreadsheetml/2006/main" count="2220" uniqueCount="732">
  <si>
    <t>EIXO</t>
  </si>
  <si>
    <t>ITEM</t>
  </si>
  <si>
    <t>Art</t>
  </si>
  <si>
    <t>REQUISITO</t>
  </si>
  <si>
    <t>Descrição</t>
  </si>
  <si>
    <t>Ponto Aplicáveis 2026</t>
  </si>
  <si>
    <t>Pontos Recebidos
2026</t>
  </si>
  <si>
    <t>Performance</t>
  </si>
  <si>
    <t>Responsável CEIInGov</t>
  </si>
  <si>
    <t>Coordenador Executivo</t>
  </si>
  <si>
    <t>Setor Executor</t>
  </si>
  <si>
    <t>Passível de Esforço Externo</t>
  </si>
  <si>
    <t>Dados/Sistema</t>
  </si>
  <si>
    <t>PERÍODO DE REFERÊNCIA</t>
  </si>
  <si>
    <t>DEADLINE</t>
  </si>
  <si>
    <t>OBSERVAÇÃO</t>
  </si>
  <si>
    <t>Pontos Recebidos
2025</t>
  </si>
  <si>
    <t>Pontos Recebidos
2024</t>
  </si>
  <si>
    <t>Itens de Medição Parcial GEDAD</t>
  </si>
  <si>
    <t>FORMULÁRIO</t>
  </si>
  <si>
    <t>PONTOS APLICÁVEIS</t>
  </si>
  <si>
    <t>PONTOS ESTIMADOS</t>
  </si>
  <si>
    <t>1. GOVERNANÇA</t>
  </si>
  <si>
    <t>Resolução CNJ nº 219/2016 (priorização do 1º Grau)</t>
  </si>
  <si>
    <t>9.I.A</t>
  </si>
  <si>
    <t>Funções Comissionadas entre 1º e 2º graus</t>
  </si>
  <si>
    <t>Distribuição dos(as) servidores(as) entre os graus de jurisdição</t>
  </si>
  <si>
    <t>Meales Medeiros de Melo</t>
  </si>
  <si>
    <t>Fabio Jose de Oliveira Araujo</t>
  </si>
  <si>
    <t>GEDAD</t>
  </si>
  <si>
    <t>SRH</t>
  </si>
  <si>
    <t>SITUAÇÃO EM 30/06/2026</t>
  </si>
  <si>
    <t>x</t>
  </si>
  <si>
    <t>9.I.B</t>
  </si>
  <si>
    <t>Cargos em Comissão entre 1º e 2º graus</t>
  </si>
  <si>
    <t>Distribuição dos valores integrais das funções comissionadas entre os graus de jurisdição</t>
  </si>
  <si>
    <t>9.I.C</t>
  </si>
  <si>
    <t>Quantidade de servidores entre 1º e 2º graus</t>
  </si>
  <si>
    <t>Distribuição dos valores integrais dos cargos em comissão entre os graus de jurisdição</t>
  </si>
  <si>
    <t>9.I.D</t>
  </si>
  <si>
    <t>Cargos em comissão da área administrativa</t>
  </si>
  <si>
    <t>Limite de 30,00% na área de apoio indireto – servidores(as)</t>
  </si>
  <si>
    <t>9.I.E</t>
  </si>
  <si>
    <t>Funções comissionadas da área administrativa</t>
  </si>
  <si>
    <t>Limite de 30,00% na área de apoio indireto – funções comissionadas</t>
  </si>
  <si>
    <t>9.I.F</t>
  </si>
  <si>
    <t>Quantidade de servidores da área administrativa</t>
  </si>
  <si>
    <t>Limite de 30,00% na área de apoio indireto – cargos em comissão</t>
  </si>
  <si>
    <t>9.I.G</t>
  </si>
  <si>
    <t>Orçamento entre 1º e 2º graus</t>
  </si>
  <si>
    <t>Distribuição do orçamento de natureza não vinculada entre os graus de jurisdição, proporcional à média de casos novos do triênio</t>
  </si>
  <si>
    <t>Leonardo Sousa de Paiva Oliveira</t>
  </si>
  <si>
    <t>DIFIN</t>
  </si>
  <si>
    <t>Lei Orçamentária Anual (LOA) de 2026</t>
  </si>
  <si>
    <t>Gestão participativa na elaboração das Metas Nacionais</t>
  </si>
  <si>
    <t>9.II.A1</t>
  </si>
  <si>
    <t>Realizar audiência pública</t>
  </si>
  <si>
    <t>Realizar consulta pública</t>
  </si>
  <si>
    <t>Antonieta Lucia Maroja Arcoverde Nobrega</t>
  </si>
  <si>
    <t>GEPLA</t>
  </si>
  <si>
    <t>PLANILHA</t>
  </si>
  <si>
    <t>01/01/2026 A 31/07/2026</t>
  </si>
  <si>
    <t>9.II.A2</t>
  </si>
  <si>
    <t>9.II.B</t>
  </si>
  <si>
    <t>Realizar uma ou mais reuniões com Magistrados e servidores</t>
  </si>
  <si>
    <t>Gestão Socioambiental e IDS</t>
  </si>
  <si>
    <t>9.III</t>
  </si>
  <si>
    <t>Resultado do IDS</t>
  </si>
  <si>
    <t>Lua Yamaoka Mariz Maia Pitanga</t>
  </si>
  <si>
    <t>NGSA</t>
  </si>
  <si>
    <t>ANO-BASE 2025</t>
  </si>
  <si>
    <t>Judicialização da Saúde</t>
  </si>
  <si>
    <t>9.IV.A</t>
  </si>
  <si>
    <t>Possuir NatJus</t>
  </si>
  <si>
    <t>Possuir NatJus que realize apoio técnico nas ações de saúde suplementar</t>
  </si>
  <si>
    <t>Silmary Alves de Queiroga Vita</t>
  </si>
  <si>
    <t>COMITÊ ESTADUAL DE SAÚDE</t>
  </si>
  <si>
    <t>SITUAÇÃO EM 31/07/2026</t>
  </si>
  <si>
    <t>9.IV.B</t>
  </si>
  <si>
    <t>Executar Plano de Estadual</t>
  </si>
  <si>
    <t>Executar duas ações do Plano Estadual ou Distrital elaborado</t>
  </si>
  <si>
    <t>01/08/2025 A 31/07/2026</t>
  </si>
  <si>
    <t>9.IV.C</t>
  </si>
  <si>
    <t>Acordo de Cooperação Técnica</t>
  </si>
  <si>
    <t>Possuir acordo de cooperação técnica, ou instrumento similar, com entes do SUS ou com operadoras de planos de saúde</t>
  </si>
  <si>
    <t>9.IV.D</t>
  </si>
  <si>
    <t>Capacitação</t>
  </si>
  <si>
    <t>Realizar cursos capacitação com os(as) magistrados(as), voltados ao Direito da Saúde e/ou Judicialização da Saúde</t>
  </si>
  <si>
    <t>ESMA</t>
  </si>
  <si>
    <t>9.IV.E</t>
  </si>
  <si>
    <t>Possuir unidade judiciária especializada na temática da saúde</t>
  </si>
  <si>
    <t>Centro de Inteligência do Poder Judiciário</t>
  </si>
  <si>
    <t>9.V</t>
  </si>
  <si>
    <t>Emitir 3 Notas técnicas</t>
  </si>
  <si>
    <t>Jeremias de Cassio Carneiro de Melo</t>
  </si>
  <si>
    <t>Assédio Moral, Sexual e Discriminação</t>
  </si>
  <si>
    <t>9.VI.A</t>
  </si>
  <si>
    <t>Capacitação de servidores chefes</t>
  </si>
  <si>
    <t>Realizar campanha de orientação e esclarecimento sobre assédio moral, assédio sexual e discriminação</t>
  </si>
  <si>
    <t>Tulia Gomes de Souza Neves</t>
  </si>
  <si>
    <t>COAPO</t>
  </si>
  <si>
    <t>9.VI.B</t>
  </si>
  <si>
    <t>Semana de Combate ao Assédio</t>
  </si>
  <si>
    <t>Possuir o mínimo de 20,00% dos(as) servidores(as) ocupantes de cargo de chefia do órgão capacitados na temática</t>
  </si>
  <si>
    <t>01/01/2022 A 31/07/2026</t>
  </si>
  <si>
    <t>9.VI.C</t>
  </si>
  <si>
    <t>Campanha de orientação</t>
  </si>
  <si>
    <t>Realizar a semana de combate ao assédio no mês de maio(magistrados(as), servidores(as) e quadro auxiliar) (10 pontos);</t>
  </si>
  <si>
    <t>MAIO DE 2026</t>
  </si>
  <si>
    <t>9.VI.D</t>
  </si>
  <si>
    <t>Penquisa que avalie assédio no tribunal</t>
  </si>
  <si>
    <t>Ter realizado pelo menos uma pesquisa interna que avalie o assédio no tribunal</t>
  </si>
  <si>
    <t>01/01/2023 A 31/07/2026</t>
  </si>
  <si>
    <t>Gestão de Memória e Documental</t>
  </si>
  <si>
    <t>9.VII.A</t>
  </si>
  <si>
    <t>Ambientes físicos e virtuais de preservação da memória</t>
  </si>
  <si>
    <t>Publicação de pelo menos dois editais de eliminação</t>
  </si>
  <si>
    <t>CPAD</t>
  </si>
  <si>
    <t>9.VII.B</t>
  </si>
  <si>
    <t>Editais de eliminação</t>
  </si>
  <si>
    <t>Possuir ambientes físicos e virtuais de preservação da memória</t>
  </si>
  <si>
    <t>Política Nacional de Justiça Restaurativa</t>
  </si>
  <si>
    <t>9.VIII.A</t>
  </si>
  <si>
    <t>Possuir CEJURE</t>
  </si>
  <si>
    <t>Possuir pelo menos um Núcleo de Justiça Restaurativa estruturado que contenha, no mínimo, dois servidores(as) com dedicação exclusiva e capacitados(as) como facilitadores(as) em práticas restaurativas</t>
  </si>
  <si>
    <t>Ivna Mozart Bezerra Soares</t>
  </si>
  <si>
    <t>NEJURE</t>
  </si>
  <si>
    <t>9.VIII.B</t>
  </si>
  <si>
    <t>Realizar capacitação, na teoria e prática da Justiça Restaurativa, nos termos do Plano Pedagógico Mínimo Orientador para Formações em Justiça Restaurativa</t>
  </si>
  <si>
    <t>9.VIII.C</t>
  </si>
  <si>
    <t>Relatório de Atividades</t>
  </si>
  <si>
    <t>Relatório de atividades do Núcleo de Justiça Restaurativa</t>
  </si>
  <si>
    <t>Instalar GMF</t>
  </si>
  <si>
    <t>9.IX.A.EB</t>
  </si>
  <si>
    <t>Estrutura de apoio administrativo / Equipe multiprofissional</t>
  </si>
  <si>
    <t>Maria Aparecida Sarmento Gadelha</t>
  </si>
  <si>
    <t>GMF</t>
  </si>
  <si>
    <t>Inspeções nos estabelecimentos penais</t>
  </si>
  <si>
    <t>9.X</t>
  </si>
  <si>
    <t>UNIDADES JUDICIÁRIAS</t>
  </si>
  <si>
    <t>X</t>
  </si>
  <si>
    <t>CNIEPS</t>
  </si>
  <si>
    <t>01/09/2025 A 31/08/2026</t>
  </si>
  <si>
    <t>Inspeções nos estabelecimentos de medidas socioeducativas</t>
  </si>
  <si>
    <t>9.XI.A</t>
  </si>
  <si>
    <t>Meio Fechado</t>
  </si>
  <si>
    <t>CNIUPS</t>
  </si>
  <si>
    <t>01/07/2025 A 30/06/2026</t>
  </si>
  <si>
    <t>9.XI.B</t>
  </si>
  <si>
    <t>Meio aberto</t>
  </si>
  <si>
    <t>Participação Institucional Feminina</t>
  </si>
  <si>
    <t>9.XII.A</t>
  </si>
  <si>
    <t>Paridade na promoção por merecimento</t>
  </si>
  <si>
    <t>Paridade de gênero nas promoções por merecimento do primeiro para o segundo grau; ou paridade no total de desembargadoras ativas e que tenham ingressado pelo critério de merecimento</t>
  </si>
  <si>
    <t>TRIBUNAL PLENO</t>
  </si>
  <si>
    <t>9.XII.C</t>
  </si>
  <si>
    <t>Paridade magistradas auxiliares</t>
  </si>
  <si>
    <t>Percentual paritário de magistradas designadas como auxiliares para cargos na alta administração do Poder Judiciário (juíza auxiliar da presidência, vice-presidência e corregedoria; diretora de escolas judiciais; diretora de foro de seção judiciária; e ouvidora, inclusive ouvidora da mulher)</t>
  </si>
  <si>
    <t>PRESIDÊNCIA</t>
  </si>
  <si>
    <t>9.XII.D</t>
  </si>
  <si>
    <t>Paridade cortes eleitorais</t>
  </si>
  <si>
    <t>Percentual paritário de magistradas designadas para compor as cortes eleitorais</t>
  </si>
  <si>
    <t>9.XII.E</t>
  </si>
  <si>
    <t>Paridade servidoras ocupantes de cargos de chefia</t>
  </si>
  <si>
    <t>Percentual paritário de servidoras ocupantes de cargo de chefia</t>
  </si>
  <si>
    <t>Apoio às Vítimas de Crimes e Atos Infracionais</t>
  </si>
  <si>
    <t>9.XIII</t>
  </si>
  <si>
    <t xml:space="preserve">Centros Especializados de Atenção às Vítimas
</t>
  </si>
  <si>
    <t xml:space="preserve">Existência de Centros Especializados de Atenção às Vítimas em funcionamento e estruturado com equipe multiprofissional.
</t>
  </si>
  <si>
    <t>Acessibilidade e inclusão de pessoas com deficiência</t>
  </si>
  <si>
    <t>9.XIV.A1</t>
  </si>
  <si>
    <t>Eventos realizados</t>
  </si>
  <si>
    <t>Acessibilidade comunicacional: possuir 70,00% ou mais de eventos realizados com acessibilidade comunicacional, calculado pela relação (QEAc / QEt), conforme indicador 3.4 do anexo da referida resolução</t>
  </si>
  <si>
    <t>CERIMONIAL/NGSA</t>
  </si>
  <si>
    <t>01/01/2025 A 31/12/2025</t>
  </si>
  <si>
    <t>9.XIV.A2</t>
  </si>
  <si>
    <t>Recursos de tecnologia assistida para srvidores com deficiência visual</t>
  </si>
  <si>
    <t>Acessibilidade tecnológica: 5 pontos para cada recurso de tecnologia assistida que permita o uso de computadores por pessoas com deficiência visual - resolução</t>
  </si>
  <si>
    <t>Max Nunes de Franca</t>
  </si>
  <si>
    <t>DITEC</t>
  </si>
  <si>
    <t>9.XIV.A.3.2</t>
  </si>
  <si>
    <t>Servidores capacitados(as)</t>
  </si>
  <si>
    <t>Percentual de servidores(as) capacitados(as) nas temáticas de acessibilidade e inclusão das pessoas com deficiência igual ou maior que 10,00%, calculado pela relação: ((QS1 + QS2) / Serv)</t>
  </si>
  <si>
    <t>ESMA/NGSA</t>
  </si>
  <si>
    <t>Relatório de Ações da COMPACI</t>
  </si>
  <si>
    <t>Relatório de Ações da COMPACI que evidencie os seguintes temas: Acessibilidade Comunicacional, Acessibilidade tecnológica e Capacitação dos Servidores</t>
  </si>
  <si>
    <t>Anna Carla Lopes Correia Lima de Freitas</t>
  </si>
  <si>
    <t>9.XIV.A.3.3</t>
  </si>
  <si>
    <t>Magistrados(as) capacitados(as)</t>
  </si>
  <si>
    <t>Percentual de magistrados(as) capacitados(as) nas temáticas de acessibilidade e inclusão das pessoas com deficiência igual ou maior que 10,00%</t>
  </si>
  <si>
    <t>01/01/2024 a 31/07/2026</t>
  </si>
  <si>
    <t>9.XIV.B</t>
  </si>
  <si>
    <t>Projeto de uso de linguagem simples</t>
  </si>
  <si>
    <t>Ter pelo menos um projeto de uso de linguagem simples com foco na prestação jurisdicional e/ou nos atos administrativos</t>
  </si>
  <si>
    <t>Natan Figueredo Oliveira</t>
  </si>
  <si>
    <t>01/08/2025 a 31/07/2026</t>
  </si>
  <si>
    <t>Política de Gestão da Inovação</t>
  </si>
  <si>
    <t>9.XV.A</t>
  </si>
  <si>
    <t>Laboratório de Inovação</t>
  </si>
  <si>
    <t xml:space="preserve">Ter implantado o Laboratório de Inovação, nos termos do art. 4º da Resolução CNJ nº 395/2021, e designado laboratoristas, dos quais ao menos um(a) magistrado(a) e um(a) servidor(a), este com dedicação exclusiva, e ambos com capacitação em gestão e operação de laboratórios de inovação de, no mínimo, 20h/aula
</t>
  </si>
  <si>
    <t>COINO</t>
  </si>
  <si>
    <t>9.XV.B</t>
  </si>
  <si>
    <t>Projeto design thinking</t>
  </si>
  <si>
    <t xml:space="preserve">Encaminhar relatório de iniciativa na qual tenha sido utilizada a abordagem do design thinking na fase de identificação/análise do problema e geração/seleção de alternativas de solução para prototipagem e teste, independentemente da metodologia utilizada na fase de gerenciamento do projeto decorrente 
</t>
  </si>
  <si>
    <t>Núcleo de cooperação judiciária</t>
  </si>
  <si>
    <t>9.XVI.A</t>
  </si>
  <si>
    <t>Iniciativa promovida pelo núcleo</t>
  </si>
  <si>
    <t>Realizar pelo menos uma iniciativa promovida pelo núcleo de cooperação judiciária, formalmente constituído</t>
  </si>
  <si>
    <t>VICE</t>
  </si>
  <si>
    <t>9.XVI.B</t>
  </si>
  <si>
    <t>Iniciativa promovida pelo magistrado de cooperação</t>
  </si>
  <si>
    <t>Realizar pelo menos uma iniciativa promovida por magistrados(as) de cooperação judiciária</t>
  </si>
  <si>
    <t>9.XVII.A</t>
  </si>
  <si>
    <t>Capacitação - Direitos Humanos</t>
  </si>
  <si>
    <t xml:space="preserve">Promoverem cursos de formação inicial e de formação continuada para capacitação magistrados(as) ativos(as), de primeiro e segundo graus de jurisdição, que incluam, obrigatoriamente, os conteúdos relativos aos direitos humanos, gênero, raça e etnia, bem como de servidores (as), os quais deverão ser disponibilizados com periodicidade mínima anual, preferencialmente na modalidade presencial ou híbrida
</t>
  </si>
  <si>
    <t>Capacitação de Magistrados e servidores</t>
  </si>
  <si>
    <t>9.XVII.B</t>
  </si>
  <si>
    <t>Capacitação - Depoimento Especial</t>
  </si>
  <si>
    <t>Promoverem capacitação de magistrados(as) e profissionais que atuem na realização do depoimento especial, inclusive para crianças e adolescentes de povos e comunidades tradicionais, de forma interdisciplinar e continuada, observando os marcos do Protocolo Brasileiro de Entrevista Forense</t>
  </si>
  <si>
    <t>9.XVIII</t>
  </si>
  <si>
    <t>Capacitação - reflexão e sensibilização de autores de violência doméstica</t>
  </si>
  <si>
    <t>Capacitação de facilitadores(as) para programas voltados à reflexão e sensibilização de autores de violência doméstica e familiar contra a mulher.</t>
  </si>
  <si>
    <t>Estruturação de juizados de violência doméstica e familiar</t>
  </si>
  <si>
    <t>9.XIX</t>
  </si>
  <si>
    <t>Criação e instalação ou transformação de unidade judiciária ou nova disponibilização de equipe multidisciplinar ou ampliação do quadro de profissionais especializados de equipe multidisciplinar existente</t>
  </si>
  <si>
    <t>Grupos vulnerabilizados - Resolução 497/2023</t>
  </si>
  <si>
    <t>9.XX</t>
  </si>
  <si>
    <t>Contratação de grupos vulneráveis</t>
  </si>
  <si>
    <t>100,00% dos editais de contratação publicados no período de referência com previsão de, no mínimo, 5% de reserva das vagas nos contratos que envolvam prestação de serviços contínuos com regime de dedicação exclusiva de mão de obra</t>
  </si>
  <si>
    <t>DIADM</t>
  </si>
  <si>
    <t>Aposentadoria</t>
  </si>
  <si>
    <t>9.XXI</t>
  </si>
  <si>
    <t>Programa de Preparação à Aposentadoria (PPA)</t>
  </si>
  <si>
    <t>Para os tribunais que tiverem instituído o Programa de Preparação à Aposentadoria (PPA)</t>
  </si>
  <si>
    <t>Protocolo Enfrentamento à Violência Doméstica Praticada em Face de Magistradas e Servidoras</t>
  </si>
  <si>
    <t>9.XXII.A</t>
  </si>
  <si>
    <t>Programa de prevenção</t>
  </si>
  <si>
    <t>Criar ou implementar programa voltado à prevenção, à orientação e ao apoio de magistradas e servidoras</t>
  </si>
  <si>
    <t>Graziela Queiroga Gadelha de Sousa</t>
  </si>
  <si>
    <t>COORDENADORIA VD</t>
  </si>
  <si>
    <t>9.XXII.B</t>
  </si>
  <si>
    <t>Realização de campanha de orientação e esclarecimento sobre violência doméstica e familiar contra a mulher, com divulgação dos canais de denúncia</t>
  </si>
  <si>
    <t>9.XXII.C</t>
  </si>
  <si>
    <t>Evento Anual</t>
  </si>
  <si>
    <t>Realização de um evento anual sobre a temática</t>
  </si>
  <si>
    <t>Política Judiciária Nacional para a Primeira Infância</t>
  </si>
  <si>
    <t>9.XXV.A.A2</t>
  </si>
  <si>
    <t>Plano de Ação - Comitê de Primeira Infância</t>
  </si>
  <si>
    <t>Possuir comitê gestor e plano de ação</t>
  </si>
  <si>
    <t>Maria dos Remedios Pordeus Pedrosa</t>
  </si>
  <si>
    <t>COINJU</t>
  </si>
  <si>
    <t>9.XXV.B</t>
  </si>
  <si>
    <t>IPER</t>
  </si>
  <si>
    <t>9.XXVI</t>
  </si>
  <si>
    <t>Índice de Promoção de Equidade Racial</t>
  </si>
  <si>
    <t>De acordo a pontuação relativa alcançada no Iper × 20</t>
  </si>
  <si>
    <t>Jailson Shizue Suassuna</t>
  </si>
  <si>
    <t>SRH E PLANILHA</t>
  </si>
  <si>
    <t>2. PRODUTIVIDADE</t>
  </si>
  <si>
    <t>Melhores índices no IPC-Jus</t>
  </si>
  <si>
    <t>10.I</t>
  </si>
  <si>
    <t>Resultado do IPC-JUS</t>
  </si>
  <si>
    <t>Alirio Maciel Lima de Brito</t>
  </si>
  <si>
    <t>PJE E SEEU</t>
  </si>
  <si>
    <t>Redução da Taxa de Congestionamento Líquida</t>
  </si>
  <si>
    <t>10.II</t>
  </si>
  <si>
    <t>Taxa de Congestionamento Líquida</t>
  </si>
  <si>
    <t>Resultado da TCL líquida</t>
  </si>
  <si>
    <t>Tempo Médio</t>
  </si>
  <si>
    <t>10.III</t>
  </si>
  <si>
    <t>A) até 500 dias (50 pontos);
B) de 501 a 700 dias (35 pontos);
C) de 701 a 900 dias (20 pontos)</t>
  </si>
  <si>
    <t>Índices de Conciliação</t>
  </si>
  <si>
    <t>10.IV.A</t>
  </si>
  <si>
    <t>1º grau</t>
  </si>
  <si>
    <r>
      <rPr>
        <rFont val="Times New Roman"/>
        <b/>
        <color theme="1"/>
        <sz val="12.0"/>
      </rPr>
      <t xml:space="preserve">Indicador I </t>
    </r>
    <r>
      <rPr>
        <rFont val="Times New Roman"/>
        <color theme="1"/>
        <sz val="12.0"/>
      </rPr>
      <t>- total de processos com sentenças e decisões terminativas homologatórias de acordo, em relação ao total de processos com sentenças e decisões terminativas, considerando os processos de conhecimento não criminais de primeiro grau</t>
    </r>
  </si>
  <si>
    <t>Kleyber Thiago Trovao Eulalio</t>
  </si>
  <si>
    <t>PJE</t>
  </si>
  <si>
    <t>10.IV.B</t>
  </si>
  <si>
    <t>juizados especiais</t>
  </si>
  <si>
    <r>
      <rPr>
        <rFont val="Times New Roman"/>
        <b/>
        <color theme="1"/>
        <sz val="12.0"/>
      </rPr>
      <t xml:space="preserve">Indicador II </t>
    </r>
    <r>
      <rPr>
        <rFont val="Times New Roman"/>
        <color theme="1"/>
        <sz val="12.0"/>
      </rPr>
      <t>- total de processos com sentenças e decisões terminativas homologatórias de acordo, em relação ao total de processos com sentenças e decisões terminativas, considerando os processos de conhecimento não criminais de juizados especiais</t>
    </r>
  </si>
  <si>
    <t>10.IV.C</t>
  </si>
  <si>
    <t>2º grau</t>
  </si>
  <si>
    <r>
      <rPr>
        <rFont val="Times New Roman"/>
        <b/>
        <color theme="1"/>
        <sz val="12.0"/>
      </rPr>
      <t>Indicador III</t>
    </r>
    <r>
      <rPr>
        <rFont val="Times New Roman"/>
        <color theme="1"/>
        <sz val="12.0"/>
      </rPr>
      <t xml:space="preserve"> - total de processos com sentenças e decisões terminativas homologatórias de acordo, em relação ao total de processos com sentenças e decisões terminativas, considerando os processos de conhecimento não criminais de segundo grau</t>
    </r>
  </si>
  <si>
    <t>10.IV.D</t>
  </si>
  <si>
    <t>execução extrajudicial não fiscais</t>
  </si>
  <si>
    <r>
      <rPr>
        <rFont val="Times New Roman"/>
        <b/>
        <color theme="1"/>
        <sz val="12.0"/>
      </rPr>
      <t>Indicador IV</t>
    </r>
    <r>
      <rPr>
        <rFont val="Times New Roman"/>
        <color theme="1"/>
        <sz val="12.0"/>
      </rPr>
      <t xml:space="preserve"> - total de processos com sentenças de execução de títulos executivos extrajudiciais não fiscais homologatórias de acordo, em relação ao total de processos com sentenças de execução de títulos executivos extrajudiciais não fiscais</t>
    </r>
  </si>
  <si>
    <t>10.IV.E.</t>
  </si>
  <si>
    <t>execução não criminal</t>
  </si>
  <si>
    <r>
      <rPr>
        <rFont val="Times New Roman"/>
        <b/>
        <color theme="1"/>
        <sz val="12.0"/>
      </rPr>
      <t xml:space="preserve">Indicador V </t>
    </r>
    <r>
      <rPr>
        <rFont val="Times New Roman"/>
        <color theme="1"/>
        <sz val="12.0"/>
      </rPr>
      <t>- total de processos não criminais com sentenças em execução judicial ou em cumprimento de sentença homologatórias de acordo, em relação ao total de processos não criminais com sentenças em execução judicial ou em cumprimento de sentença</t>
    </r>
  </si>
  <si>
    <t>Cumprimento das Metas Nacionais</t>
  </si>
  <si>
    <t>10.V.A.</t>
  </si>
  <si>
    <t>Meta 1</t>
  </si>
  <si>
    <t>10.V.B.</t>
  </si>
  <si>
    <t>Meta 2</t>
  </si>
  <si>
    <t>Meta 3</t>
  </si>
  <si>
    <t>10.V.C.</t>
  </si>
  <si>
    <t>Meta 4</t>
  </si>
  <si>
    <t>Meta 5</t>
  </si>
  <si>
    <t>Meta 6</t>
  </si>
  <si>
    <t>Deborah Cavalcanti Figueiredo</t>
  </si>
  <si>
    <t>Meta 8</t>
  </si>
  <si>
    <t>Meta 10</t>
  </si>
  <si>
    <t>Meta 11</t>
  </si>
  <si>
    <t>10.V.D.</t>
  </si>
  <si>
    <t>Meta 9</t>
  </si>
  <si>
    <t>Julgar processos antigos</t>
  </si>
  <si>
    <t>10.VI</t>
  </si>
  <si>
    <t>Ajuizados até o ano de 2022 dos casos pendentes líquidos e não julgados até 31/7/2025
A) até 20,00%  (50 pontos);
B) de 20,01% a 25,00% (25 pontos).</t>
  </si>
  <si>
    <t>Julgar Violência contra a Mulher</t>
  </si>
  <si>
    <t>10.VII.A</t>
  </si>
  <si>
    <t>Tempo Médio - Feminicídio</t>
  </si>
  <si>
    <t>Tempo médio decorrido entre a data do início da ação penal e a data-base de cálculo nos processos de violência doméstica e familiar contra a mulher pendentes líquidos</t>
  </si>
  <si>
    <t>10.VII.B</t>
  </si>
  <si>
    <t>Tempo médio - VD</t>
  </si>
  <si>
    <t>Tempo médio decorrido entre a data do início da ação penal e a data-base de cálculo nos processos de feminicídio pendentes líquidos</t>
  </si>
  <si>
    <t>10.VII.C</t>
  </si>
  <si>
    <t>Tempo Médio - Medida Protetiva</t>
  </si>
  <si>
    <t>Tempo médio decorrido entre a data do recebimento/ajuizamento e a data da primeira concessão ou denegação da medida protetiva, nos processos de violência doméstica e familiar contra a mulher, das classes de medidas protetivas de urgência, de até 2 dias</t>
  </si>
  <si>
    <t>10.VIII.</t>
  </si>
  <si>
    <t>Tempo médio decorrido entre a data do início da ação e a data-base de cálculo nos processos de judicialização da saúde pendentes líquidos</t>
  </si>
  <si>
    <t>Adoção e acolhimento</t>
  </si>
  <si>
    <t>10.X.A.</t>
  </si>
  <si>
    <t>Reavaliação de acolhimento</t>
  </si>
  <si>
    <t>Fabio Leandro de Alencar Cunha</t>
  </si>
  <si>
    <t>CEJA/UNIDADES JUDICIÁRIAS</t>
  </si>
  <si>
    <t>SNA</t>
  </si>
  <si>
    <t>30/04/2026 a 31/07/2026</t>
  </si>
  <si>
    <t>10.X.B.B1.</t>
  </si>
  <si>
    <t>Tempo Médio - Adoção</t>
  </si>
  <si>
    <t>Acima de 80,00% dos processos de adoção pelo cadastro do SNA que tramitam há 240 dias ou menos</t>
  </si>
  <si>
    <t>10.X.B.B2.</t>
  </si>
  <si>
    <t>Tempo Médio - Destituição do poder familiar</t>
  </si>
  <si>
    <t>Acima de 80,00% dos processos de destituição do poder familiar no SNA que tramitam há 120 dias ou menos</t>
  </si>
  <si>
    <t>10.X.C.</t>
  </si>
  <si>
    <t>CPF cadastrado das crianças acolhidas</t>
  </si>
  <si>
    <t>Acima de 90,00% das crianças e dos(as) adolescentes acolhidos(as) há mais de 30 dias que tenham o CPF cadastrado</t>
  </si>
  <si>
    <t>INICIADOS ATÉ 30/06/2026 E ATIVOS ATÉ 31/07/2026</t>
  </si>
  <si>
    <t>Ações Penais (geral e júri)</t>
  </si>
  <si>
    <t>10.XI.A.</t>
  </si>
  <si>
    <t>Tempo Médio Ação Penal</t>
  </si>
  <si>
    <t>Tempo médio dos processos pendentes líquidos, considerando o número de dias decorridos entre o início da ação penal e a data-base de cálculo</t>
  </si>
  <si>
    <t>Marcial Henrique Ferraz da Cruz</t>
  </si>
  <si>
    <t>10.XI.B.</t>
  </si>
  <si>
    <t>Tempo Médio Ação do Júri</t>
  </si>
  <si>
    <t>Tempo médio dos processos pendentes líquidos, decorrido entre a data do início da ação penal de competência do júri e data-base de cálculo</t>
  </si>
  <si>
    <t>Julgar IRDR ou IAC</t>
  </si>
  <si>
    <t>10.XII.</t>
  </si>
  <si>
    <t>para cada IRDR ou para cada IAC julgado no período de referência</t>
  </si>
  <si>
    <t>Frederico Martinho da Nobrega Coutinho</t>
  </si>
  <si>
    <t>GABINETES</t>
  </si>
  <si>
    <t>Unidades judiciárias com IAD acima de 100%</t>
  </si>
  <si>
    <t>10.XIII.A.</t>
  </si>
  <si>
    <t>1º Grau</t>
  </si>
  <si>
    <t>Percentual de unidades judiciárias de primeiro grau com IAD igual ou maior que 100,00%</t>
  </si>
  <si>
    <t>10.XIII.B.</t>
  </si>
  <si>
    <t>2º Grau</t>
  </si>
  <si>
    <t>Percentual de unidades judiciárias de segundo grau ou em unidades de tribunais Superiores, com IAD igual ou maior que 100,00%</t>
  </si>
  <si>
    <t>Juízo Verde</t>
  </si>
  <si>
    <t>10.XIV.A</t>
  </si>
  <si>
    <t>IAD</t>
  </si>
  <si>
    <t>IAD nas ações ambientais igual ou maior que 100,00%</t>
  </si>
  <si>
    <t>10.XIV.B</t>
  </si>
  <si>
    <t>Julgamento dos processos antigos</t>
  </si>
  <si>
    <t>Julgar, entre 1º/8/2024 e 31/7/2025, pelo menos 35,00% dos processos ambientais ingressados até 31/12/2021 e que não tinham sido julgados ou baixados até 31/7/2024. Excluem-se os processos pendentes que estavam suspensos, sobrestados ou em arquivo provisório em 31/7/2024</t>
  </si>
  <si>
    <t>Incidentes de progressão de regime</t>
  </si>
  <si>
    <t>10.XV</t>
  </si>
  <si>
    <t>Média do resultado alcançado por cada unidade judiciária em cada mês-base, no que diz respeito à proporção entre a soma de incidentes de progressão de regime vencidos no SEEU e a soma do número de processos ativos na respectiva unidade judiciária e mês-base de medição.Os cálculos serão efetuados no 15° dia útil subsequente ao mês-base.</t>
  </si>
  <si>
    <t>Andrea Arcoverde Cavalcanti Vaz</t>
  </si>
  <si>
    <t>SEEU</t>
  </si>
  <si>
    <t>Audiências concentradas socioeducativo</t>
  </si>
  <si>
    <t>10.XVI.A</t>
  </si>
  <si>
    <t>Regulamentação</t>
  </si>
  <si>
    <t>Regulamentação das audiências concentradas para reavaliação de medidas socioeducativas de internação e semiliberdade</t>
  </si>
  <si>
    <t>10.XVI.B</t>
  </si>
  <si>
    <t>Realização de audiências concentradas de reavaliação de medidas socioeducativas de internação e semiliberdade</t>
  </si>
  <si>
    <t>Julgamento apurações infracionais</t>
  </si>
  <si>
    <t>10.XVII.A</t>
  </si>
  <si>
    <t>Tempo médio</t>
  </si>
  <si>
    <t>Tempo médio dos processos pendentes líquidos, considerando o número de dias decorridos entre o início da representação do ato infracional e a data-base de cálculo</t>
  </si>
  <si>
    <t>4. DADOS E TECNOLOGIA</t>
  </si>
  <si>
    <t>DataJud</t>
  </si>
  <si>
    <t>12.I.A.A1</t>
  </si>
  <si>
    <t>Assunto válido</t>
  </si>
  <si>
    <t>Mais de 98,00% dos processos com tipoAssuntoProcessual.codigoNacional e/ou tipoAssuntoLocal.codigoPaiNacional válidos que sejam folha (último nível) ou de nível 3 ou mais</t>
  </si>
  <si>
    <t>Anderley Ferreira Marques</t>
  </si>
  <si>
    <t>Paula Frassinetti V. de Andrade</t>
  </si>
  <si>
    <t>GEPJE</t>
  </si>
  <si>
    <t>12.I.A.A2</t>
  </si>
  <si>
    <t>Movimento válido</t>
  </si>
  <si>
    <t>Mais de 95,00% dos processos com tipoMovimentoNacional.codigoNacional e/ou tipoMovimentoLocal.codigoPaiNacional preenchidos, válidos e em último nível</t>
  </si>
  <si>
    <t>12.I.A.A3</t>
  </si>
  <si>
    <t>Movimento com complemento</t>
  </si>
  <si>
    <t>Mais de 90,00% dos movimentos que possuam complementos tabelados com os campos movimentoNacional.complemento e/ou movimentoLocal.complemento preenchidos e em formato válido, no padrão do modelo XSD</t>
  </si>
  <si>
    <t>12.I.B.B1</t>
  </si>
  <si>
    <t>Documento do Polo ativo</t>
  </si>
  <si>
    <t>Mais de 95,00% dos processos Pessoa.numeroDocumentoPrincipal preenchidos e em formato válido, em pessoa do polo ativo E PoloProcessual.polo, tipo igual AT: polo ativo preenchido</t>
  </si>
  <si>
    <t>12.I.B.B2</t>
  </si>
  <si>
    <t>Documento do Polo passivo</t>
  </si>
  <si>
    <t>Mais de 95,00% dos processos Pessoa.numeroDocumentoPrincipal preenchidos e em formato válido, em pessoa do polo passivo PoloProcessual.polo, tipo igual PA: polo passivo preenchido</t>
  </si>
  <si>
    <t>12.I.B.B3</t>
  </si>
  <si>
    <t>Processos Advogado polo passivo</t>
  </si>
  <si>
    <t>Mais de 90,00% dos processos advogado.tipoRepresentante, dos tipos tipoRepresentanteProcessual e modalidadeRepresentanteProcessual, preenchidos e enviados no polo passivo e no polo passivo, com uma das opções válidas (“A” para advogado, “E” para escritório de advocacia, “M” para ministério público, “D” para defensoria pública e “P” para outros órgãos</t>
  </si>
  <si>
    <t>12.I.B.B4</t>
  </si>
  <si>
    <t>Processo Advogado - representante</t>
  </si>
  <si>
    <t>Mais de 90,00% dos processos advogado.inscricao de número de inscrição da OAB, dos tipos tipoRepresentanteProcessual e tipoCadastroOAB, preenchidos para os tipoRepresentante=”A” (advogado)</t>
  </si>
  <si>
    <t>12.I.C.C1</t>
  </si>
  <si>
    <t>Movimento de audiência com complemento</t>
  </si>
  <si>
    <t>mais de 95,00% dos movimentos de audiência (970 ou filhos) com complemento preenchido em formato válido</t>
  </si>
  <si>
    <t>12.I.C.C2</t>
  </si>
  <si>
    <t>Movimento de Remessa com complemento</t>
  </si>
  <si>
    <t>mais de 98,00% dos movimentos de remessa (123 ou 982) com complemento preenchido em formato válido</t>
  </si>
  <si>
    <t>12.I.C.C3</t>
  </si>
  <si>
    <t>Movimento de mudança de classe com complemento</t>
  </si>
  <si>
    <t>mais de 95,00% dos movimentos 14739 (Evolução da Classe Processual), 14738 (Retificação de Classe Processual), 10966 (Mudança de Classe Processual), com complemento preenchido em formato válido e com identificação das classes que estejam de acordo com as TPUs</t>
  </si>
  <si>
    <t>12.I.C.C4</t>
  </si>
  <si>
    <t>Movimento de recurso a instância superior com complemento</t>
  </si>
  <si>
    <t>mais de 95,00% dos movimentos, lançados a partir de 2020, de suspensão por recurso extraordinário com repercussão geral (265) ou por recurso especial repetitivo (11975) ou por recurso de revista repetitivo (14973) ou por incidente de resolução de demandas repetitivas (12098) ou por incidente de assunção de competência – IAC (14968) ou por decisão do Presidente do STF – SIRDR (12100) ou por decisão do Presidente do STJ – SIRDR (12099) ou por Decisão do Presidente do TST – SIRDR (14972), com complemento preenchido em formato válido, e de acordo com os números dos temas existentes no BNP (ou BNPR)</t>
  </si>
  <si>
    <t>12.I.C.C5</t>
  </si>
  <si>
    <t>Movimento de medida protetiva com complemento</t>
  </si>
  <si>
    <t>mais de 95,00% dos movimentos, lançados a partir de 2020, de medidas protetivas de urgência (11423, 11424, 11426, 12476, 12479, 14733, 14681) com complemento tabelado preenchido em formato válido</t>
  </si>
  <si>
    <t>12.I.C.C6</t>
  </si>
  <si>
    <t>Ação Penal do Júri com assunto da hierarquia 3369</t>
  </si>
  <si>
    <t>mais de 95,00% dos processos que sejam ações penais de competência do júri (classe 282) que tenham assuntos da hierarquia 3369</t>
  </si>
  <si>
    <t>12.I.C.C7</t>
  </si>
  <si>
    <t>Movimento de sessão júri com complemento</t>
  </si>
  <si>
    <t>mais de 95,00% dos processos que tenham movimentos de sessão do Tribunal do júri (movimento 313) com complemento preenchido e válido</t>
  </si>
  <si>
    <t>12.I.C.C8</t>
  </si>
  <si>
    <t>Ação Penal do júri com polo passivo</t>
  </si>
  <si>
    <t>mais de 95,00% dos processos que sejam ações penais de competência do júri (classe 282) com informações do polo passivo</t>
  </si>
  <si>
    <t>12.I.C.C9</t>
  </si>
  <si>
    <t>Movimento de Julgamento com CPF do Magistrado</t>
  </si>
  <si>
    <t>mais de 90,00% dos movimentos da hierarquia 193 (julgamento), com o campo movimento.tipoResponsavelMovimento igual a 1 (magistrado) E com número do CPF válido e preenchido no campo movimento.responsavelMovimento OU movimento.magistradoProlator, dos tipos tipoMovimentoProcessual e tipoCadastroIdentificador, e cujo CPF esteja cadastrado na tabela de magistrados(as) do MPM</t>
  </si>
  <si>
    <t>12.I.D.D1</t>
  </si>
  <si>
    <t>Movimento x classe processual</t>
  </si>
  <si>
    <t xml:space="preserve"> mais de 90,00% de movimentos preenchidos com a classe processual correspondente na data da movimentação, com o campo movimento.classeProcessual preenchido e em formato válido</t>
  </si>
  <si>
    <t>12.I.D.D2</t>
  </si>
  <si>
    <t>Movimento x órgão julgador</t>
  </si>
  <si>
    <t>mais de 90,00% de movimentos preenchidos com o órgão julgador correspondente na data da movimentação, com o campo movimento.orgaoJulgador.codigoOrgao preenchido e em formato válido</t>
  </si>
  <si>
    <t>12.I.D.D3</t>
  </si>
  <si>
    <t>Movimento x órgão colegiado</t>
  </si>
  <si>
    <t>mais de 90,00% de movimentos preenchidos com o órgão julgador colegiado correspondente na data da movimentação, com o campo movimento.orgaoJulgadorColegiado.codigoOrgao em formato válido, observadas, inclusive, as classificações de órgãos colegiados existentes no MPM e a abrangência do tribunal</t>
  </si>
  <si>
    <t>12.I.D.D4</t>
  </si>
  <si>
    <t>processos juizo 100% digital</t>
  </si>
  <si>
    <t>mais de 90,00% dos processos com o campo dadosBasicos.juizo100Digital preenchido</t>
  </si>
  <si>
    <t>12.I.D.D5</t>
  </si>
  <si>
    <t>Processos com Custas recolhidas</t>
  </si>
  <si>
    <t xml:space="preserve">possuir processos com preenchimento do atributo: dadosBasicos.CustasRecolhidas </t>
  </si>
  <si>
    <t>12.I.D.D6</t>
  </si>
  <si>
    <t>processos com prioridade</t>
  </si>
  <si>
    <t>mais de 90,00% dos processos com o campo dadosBasicos.tipoPrioridade preenchido e em formato válido, quando dadosBasicos.pedidoPrioridade for assinalado como “True”. A ausência ou excesso de pedidos assinalados como “True” poderá acarretar perda da pontuação</t>
  </si>
  <si>
    <t>MPM</t>
  </si>
  <si>
    <t>12.II.A.</t>
  </si>
  <si>
    <t>Cadastro de serventias</t>
  </si>
  <si>
    <t>Cadastro de serventias: até 2,00% das serventias ativas com registro de inconsistência ou com ausência de informação no sistema MPM</t>
  </si>
  <si>
    <t>Dados recebidos até 20/8/2026</t>
  </si>
  <si>
    <t>12.II.B.</t>
  </si>
  <si>
    <t>Cadastro de Magistrados</t>
  </si>
  <si>
    <t>Cadastro de magistrados(as): até 5,00% de magistrados(as) ativos com registro de inconsistência ou com ausência de informação no sistema MPM</t>
  </si>
  <si>
    <t>12.II.C.</t>
  </si>
  <si>
    <t>Cadastro de Servidores</t>
  </si>
  <si>
    <t>Cadastro de servidores(as): até 5,00% de servidores(as) ativos com registros inconsistentes ou com ausência de informação no sistema MPM</t>
  </si>
  <si>
    <t>Saneamento do Datajud</t>
  </si>
  <si>
    <t>12.III.A.</t>
  </si>
  <si>
    <t>Dados básicos</t>
  </si>
  <si>
    <t>Enviados ao DataJud até 15/8/2026</t>
  </si>
  <si>
    <t>12.III.B.</t>
  </si>
  <si>
    <t>Assuntos</t>
  </si>
  <si>
    <t>12.III.C</t>
  </si>
  <si>
    <t>Partes</t>
  </si>
  <si>
    <t>Acervo Eletrònico</t>
  </si>
  <si>
    <t>12.IV</t>
  </si>
  <si>
    <t>Percentual de processos pendentes eletrônicos, calculado pela divisão do total de processos pendentes no DataJud</t>
  </si>
  <si>
    <t>iGov-TIC-JUD</t>
  </si>
  <si>
    <t>12.V.A</t>
  </si>
  <si>
    <t>alcançar o seguinte desempenho no iGov-TIC-JUD:satisfatório, aprimorado, excelência</t>
  </si>
  <si>
    <t>COORDENAÇÃO DE GOVERNANÇA</t>
  </si>
  <si>
    <t>SITUAÇÃO EM 15/09/2026</t>
  </si>
  <si>
    <t>12.V.B.</t>
  </si>
  <si>
    <t>Força de Trabalho Ditec</t>
  </si>
  <si>
    <t>alcançar percentual igual ou superior a 60,00% do referencial mínimo para o seu quadro permanente de servidores</t>
  </si>
  <si>
    <t>01/01/2026 a 31/07/2026</t>
  </si>
  <si>
    <t>PDPJ</t>
  </si>
  <si>
    <t>12.VI.A.</t>
  </si>
  <si>
    <t>SSO</t>
  </si>
  <si>
    <t>alcançar mensalmente a proporção média de 100 operações de autenticação no serviço de estruturante de single sign-on (SSO), para cada pessoa componente da força de trabalho do tribunal, considerados(as) os(as) magistrados(as) e os(as) servidores(as)</t>
  </si>
  <si>
    <t>GEINF</t>
  </si>
  <si>
    <t>12.VI.B.</t>
  </si>
  <si>
    <t>Serviço de Peticionamento</t>
  </si>
  <si>
    <t>integração ativa ao serviço de peticionamento intercorrente disponibilizado no Portal de Serviços Unificados do Poder Judiciário</t>
  </si>
  <si>
    <t>Codex</t>
  </si>
  <si>
    <t>12.VII.A</t>
  </si>
  <si>
    <t>Proporção de casos novos</t>
  </si>
  <si>
    <t>Proporção de casos novos na plataforma Codex em relação ao DataJud.</t>
  </si>
  <si>
    <t>12.VII.B</t>
  </si>
  <si>
    <t>Proporção de casos baixados</t>
  </si>
  <si>
    <t>Proporção de casos baixados na plataforma Codex em relação ao DataJud.</t>
  </si>
  <si>
    <t>12.VII.C.</t>
  </si>
  <si>
    <t>Correlação entre órgão judiciais singulares e locais</t>
  </si>
  <si>
    <t>existência de registros de correlação, em proporção igual ou superior a 95,00%, entre os órgãos judiciais singulares e colegiados locais de primeira e segunda instância e aqueles cadastrados na tabela nacional de órgãos do sistema SCA Corporativo do CNJ, e que estejam cadastrados como unidades judiciárias no sistema MPM (tabela de–para)</t>
  </si>
  <si>
    <t>12.VII.D.</t>
  </si>
  <si>
    <t>Processos eletrônicos com classe processual válida</t>
  </si>
  <si>
    <t>proporção mínima de 95,00% de processos eletrônicos carregados na plataforma Codex com classe processual válida e existente nas tabelas processuais unificadas</t>
  </si>
  <si>
    <t>12.VII.E.</t>
  </si>
  <si>
    <t>Processos eletrônicos com assuntos válidos</t>
  </si>
  <si>
    <t>proporção mínima de 95,00% de processos eletrônicos carregados na plataforma Codex com assuntos processuais válidos e existentes nas TPUs</t>
  </si>
  <si>
    <t>12.VII.F.</t>
  </si>
  <si>
    <t>Latência de Transmissão</t>
  </si>
  <si>
    <t>latência de transmissão de metadados processuais entre a persistência no sistema de processo judicial e a comunicação à plataforma Codex</t>
  </si>
  <si>
    <t>PID</t>
  </si>
  <si>
    <t>12.VIII</t>
  </si>
  <si>
    <t>Nível 1 (5 pontos), com limite de até 2;
Nível 2 (10 pontos), com limite de até 3.</t>
  </si>
  <si>
    <t>BNMP</t>
  </si>
  <si>
    <t>12.IX</t>
  </si>
  <si>
    <t>Diferença entre o número de pessoas privadas de liberdade apuradas a partir do BNMP e o número de pessoas privadas de liberdade, segundo dados das Seaps/Sejus e enviados aos GMFs.</t>
  </si>
  <si>
    <t>GEFIJ</t>
  </si>
  <si>
    <t>Domicílio Eletrônico</t>
  </si>
  <si>
    <t>12.X</t>
  </si>
  <si>
    <t>proporção entre número de citações eletrônicas informadas no sistema e casos novos no DataJud</t>
  </si>
  <si>
    <t>PJE E DJEN</t>
  </si>
  <si>
    <t>01/03/2026 A 31/07/2026</t>
  </si>
  <si>
    <t>DJEN</t>
  </si>
  <si>
    <t>12.XI.</t>
  </si>
  <si>
    <t>proporção mensal entre número de intimações informadas no sistema e a quantidade de atos proferidos (decisões, despachos e sentenças) contabilizados pelo DataJud</t>
  </si>
  <si>
    <t>3. TRANSPARÊNCIA</t>
  </si>
  <si>
    <t>GESTÃO</t>
  </si>
  <si>
    <t>Normativo do Planejamento Estratégico</t>
  </si>
  <si>
    <t>Planejamento Estratégico Institucional publicado evidenciando objetivos estratégicos, metas, indicadores de desempenho?</t>
  </si>
  <si>
    <t>Pedro Davi Alves de Vasconcelos</t>
  </si>
  <si>
    <t>SITUAÇÃO EM 31/03/2026</t>
  </si>
  <si>
    <t>Resultados do Planejamento Estratégico</t>
  </si>
  <si>
    <t>Os resultados do Planejamento Estratégico Institucional alcançados pelo órgão?</t>
  </si>
  <si>
    <t>Registro das competências e responsabilidades do órgão</t>
  </si>
  <si>
    <t>O registro das competências e responsabilidades do órgão?</t>
  </si>
  <si>
    <t>DIJUR</t>
  </si>
  <si>
    <t>Estrutura Organizacional</t>
  </si>
  <si>
    <t>Estrutura organizacional, demonstrada de forma textual ou gráfica, que apresente claramente a relação hierárquica entre as unidades?</t>
  </si>
  <si>
    <t>Atos Normativos Expedidos</t>
  </si>
  <si>
    <t>Os atos normativos expedidos pelo órgão?</t>
  </si>
  <si>
    <t>Acompanhamento dos Projetos</t>
  </si>
  <si>
    <t>Os dados gerais para o acompanhamento de programas, ações e projetos?</t>
  </si>
  <si>
    <t>Campo Estatística</t>
  </si>
  <si>
    <t>Há campo/espaço Estatística na página principal do órgão, com vistas a reunir dados abertos, Painéis de Business Intelligence e Relatórios Estatísticos referentes à atividade-fim do Poder Judiciário, contendo o conteúdo mínimo definido na Portaria CNJ n. 119/2021, com link de acesso ao Painel de Estatísticas do DataJud, e as informações relacionadas no art. 7º do referido normativo?</t>
  </si>
  <si>
    <t>Acompanhamento dos Processos Administrativos</t>
  </si>
  <si>
    <t>O sítio eletrônico dispõe de mecanismo que possibilite o acompanhamento dos respectivos procedimentos e processos administrativos instaurados que não se enquadrem nas hipóteses de sigilo?</t>
  </si>
  <si>
    <t>GESIS</t>
  </si>
  <si>
    <t>AUDIÊNCIAS E SESSÕES</t>
  </si>
  <si>
    <t>Audiências e sessões - Calendário</t>
  </si>
  <si>
    <t>O calendário das sessões colegiadas?</t>
  </si>
  <si>
    <t>GEJUD</t>
  </si>
  <si>
    <t>Audiências e sessões - Pauta</t>
  </si>
  <si>
    <t>A pauta de julgamentos?</t>
  </si>
  <si>
    <t>Audiências e sessões - transmissão ao vivo</t>
  </si>
  <si>
    <t xml:space="preserve">O sítio eletrônico transmite ao vivo, pela internet, as sessões dos órgãos colegiados? 
</t>
  </si>
  <si>
    <t>GECOM</t>
  </si>
  <si>
    <t>Audiências e sessões - Vídeos das sessões</t>
  </si>
  <si>
    <t>O órgão publica os vídeos das sessões dos colegiados?</t>
  </si>
  <si>
    <t>Atas Comissões e Comitês</t>
  </si>
  <si>
    <t>Resultados e atas das reuniões das comissões?</t>
  </si>
  <si>
    <t>Audiências Públicas</t>
  </si>
  <si>
    <t>As audiências públicas, consultas públicas ou outras formas de participação popular?</t>
  </si>
  <si>
    <t>DIESP</t>
  </si>
  <si>
    <t>SERVIÇO DE INFORMAÇÕES AO CIDADÃO – SIC</t>
  </si>
  <si>
    <t>Telefondes e horários de atendimento</t>
  </si>
  <si>
    <t>Telefone das unidades e horários de atendimento?</t>
  </si>
  <si>
    <t>GEAPO</t>
  </si>
  <si>
    <t>Campo</t>
  </si>
  <si>
    <t>O campo denominado ‘Serviço de Informações ao Cidadão’ na página inicial?</t>
  </si>
  <si>
    <t>OUVIDORIA</t>
  </si>
  <si>
    <t>Carta de serviços ao cidadão</t>
  </si>
  <si>
    <t>O sítio eletrônico tem uma dimensão denominada "Carta de Serviços ao Cidadão"?</t>
  </si>
  <si>
    <t>Responsável</t>
  </si>
  <si>
    <t>Há indicação do órgão ou unidade orgânica responsável pelo SIC?</t>
  </si>
  <si>
    <t>Funcionamento</t>
  </si>
  <si>
    <t>Existe indicação precisa no site de funcionamento de um Serviço de Informações ao Cidadão (SIC) a que o cidadão possa entregar pessoalmente o pedido de acesso a informações?</t>
  </si>
  <si>
    <t>Acompanhamento das manifestações</t>
  </si>
  <si>
    <t>O sítio eletrônico  indica a possibilidade de acompanhamento posterior do pedido de acesso à informação?</t>
  </si>
  <si>
    <t>Interposição de recurso contra o indeferimento de pedido de acesso à informação</t>
  </si>
  <si>
    <t>O tribunal informa a possibilidade de interposição de recurso contra o indeferimento de pedido de acesso à informação ou às razões da negativa do acesso,com indicação de prazo, condições para interposição e autoridade competente para sua apreciação?</t>
  </si>
  <si>
    <t>FAQ</t>
  </si>
  <si>
    <t>As Respostas às perguntas mais frequentes da sociedade (FAQ)?</t>
  </si>
  <si>
    <t>Relatório Estatístico</t>
  </si>
  <si>
    <t>Relatório estatístico anual contendo a quantidade de pedidos de informação recebidos, atendidos e indeferidos, bem como informações genéricas sobre os solicitantes?</t>
  </si>
  <si>
    <t>Link de acesso (PJE, Balcão Virtual, Primeiro Atendimento/Juizados Especiais)</t>
  </si>
  <si>
    <t>Link de acesso aos principais serviços de atendimento ao usuário? (PJE, Balcão Virtual, Primeiro Atendimento/Juizados Especiais)</t>
  </si>
  <si>
    <t>Registro de manifestação</t>
  </si>
  <si>
    <t xml:space="preserve">O sítio eletrônico disponibiliza página da Ouvidoria,que permita o registro de denúncias, reclamações e outrostipos de manifestação?
</t>
  </si>
  <si>
    <t>Possibilidade de acompamento da manifestação</t>
  </si>
  <si>
    <t xml:space="preserve">O sítio eletrônico indica a possibilidade deacompanhamento de manifestações registradas naOuvidoria?
</t>
  </si>
  <si>
    <t>Avaliação do Serviço</t>
  </si>
  <si>
    <t xml:space="preserve">O sítio eletrônico disponibiliza avaliação do serviçoprestado pela Ouvidoria? 
</t>
  </si>
  <si>
    <t>TECNOLOGIA DA INFORMAÇÃO E COMUNICAÇÃO</t>
  </si>
  <si>
    <t>PDTIC</t>
  </si>
  <si>
    <t>O órgão publica o Plano Diretor de Tecnologia da Informação e Comunicação – PDTIC vigente?</t>
  </si>
  <si>
    <t>Plano de Contratações</t>
  </si>
  <si>
    <t>O órgão publica o Plano de Contratações de Soluções de TIC vigente?</t>
  </si>
  <si>
    <t>Painel Visual</t>
  </si>
  <si>
    <t>O órgão possui Painel visual de informações relacionadas à Tecnologia da Informação e Comunicação, que permita ao usuário filtrar, consultar e até extrair dados públicos?</t>
  </si>
  <si>
    <t>Extração de relatórios</t>
  </si>
  <si>
    <t>O sítio eletrônico institucional possibilita a extração de relatórios em diversos formatos eletrônicos, preferencialmente abertos, e não proprietários, tais como planilhas e texto (CSV, RTF), de modo a facilitar a análise das informações?</t>
  </si>
  <si>
    <t>Acesso automatizado</t>
  </si>
  <si>
    <t>O sítio eletrônico institucional possibilita o acesso automatizado por sistemas externos (ex: webservices ou api’s) em formatos abertos, estruturados e legíveis por máquina?</t>
  </si>
  <si>
    <t>GESTÃO ORÇAMENTÁRIA</t>
  </si>
  <si>
    <t>Execução orçamentária - Anexo I</t>
  </si>
  <si>
    <t>Mensalmente, os dados de sua gestão orçamentária e financeira, na forma do Anexo I da Resolução CNJ nº 102/2009? (Não se aplica ao CSJT)</t>
  </si>
  <si>
    <t>Execução orçamentária - Anexo II</t>
  </si>
  <si>
    <t>Mensalmente, os dados de sua gestão orçamentária e financeira, na forma do Anexo II da Resolução CNJ nº 102/2009? (Não se aplica ao CSJT)</t>
  </si>
  <si>
    <t>Publicação do QDD</t>
  </si>
  <si>
    <t>A íntegra do quadro de detalhamento da despesa da Proposta Orçamentária com a distribuição dos recursos por grau de jurisdição? (Não se aplica a TREs, TSE, STJ, TST, CSJT, CNJ e CJF)</t>
  </si>
  <si>
    <t>Publicação da LOA</t>
  </si>
  <si>
    <t>A íntegra do quadro de detalhamento da despesa da Lei Orçamentária com a distribuição dos recursos por grau de jurisdição? (Não se aplica a TREs, TSE, STJ, TST, CSJT, CNJ e CJF)</t>
  </si>
  <si>
    <t>Mapa da Execução Orçamentária do ano anterior</t>
  </si>
  <si>
    <t>O Mapa Demonstrativo da Execução Orçamentária do ano anterior, com indicação das despesas realizadas por grau de jurisdição? (Não se aplica a TREs, TSE, CSJT, CJF, CNJ, STJ e TST)</t>
  </si>
  <si>
    <t>Relatório de Gestão Fiscal</t>
  </si>
  <si>
    <t>O ‘Relatório de Gestão Fiscal’? (Não se aplica ao CSJT)</t>
  </si>
  <si>
    <t>Mapa Anual de Precatórios</t>
  </si>
  <si>
    <t>O mapa anual dos precatórios? (Não se aplica a TREs, STM, TSE, CJF, CSJT, CNJ e TST)</t>
  </si>
  <si>
    <t>GEPRE</t>
  </si>
  <si>
    <t>Relação das empresas contratadas</t>
  </si>
  <si>
    <t>A relação dos contratados, com os respectivos valores pagos nos últimos três anos, exceto os sigilosos, nos termos da legislação?</t>
  </si>
  <si>
    <t>GECON</t>
  </si>
  <si>
    <t>LICITAÇÕES, CONTRATOS E INSTRUMENTOS DE COORPERAÇÃO</t>
  </si>
  <si>
    <t>Estudos Técnicos Preliminares</t>
  </si>
  <si>
    <t>A íntegra dos ‘Estudos Técnicos Preliminares da Contratação’, desde que não tenham sido considerados sigilosos?</t>
  </si>
  <si>
    <t>Mapa Comparativo de Preços</t>
  </si>
  <si>
    <t>A íntegra do Mapa Comparativo de Preços, documento que contém a informação conclusiva sobre o ‘Valor Estimado da Licitação’, desde que não tenha sido considerado sigiloso?</t>
  </si>
  <si>
    <t>Editais de Licitação</t>
  </si>
  <si>
    <t>A íntegra dos editais de licitação com os respectivos anexos (o anexo do edital inclui projeto básico ou termo de referência, minuta da ata de registro de preços, quando for o caso, e minuta de contrato)?</t>
  </si>
  <si>
    <t>Questionamento apresentados</t>
  </si>
  <si>
    <t>A íntegra dos questionamentos apresentados entre a publicação do Edital e a abertura da sessão pública?</t>
  </si>
  <si>
    <t>Impugnações</t>
  </si>
  <si>
    <t>A íntegra das impugnações apresentadas entre a publicação do Edital e a abertura da sessão pública?</t>
  </si>
  <si>
    <t>Vencedor da licitação</t>
  </si>
  <si>
    <t>O nome do vencedor da licitação?</t>
  </si>
  <si>
    <t>Contratos firmados</t>
  </si>
  <si>
    <t>A íntegra dos contratos firmados?</t>
  </si>
  <si>
    <t>Instrumentos que substituem o contrato</t>
  </si>
  <si>
    <t>A integra dos instrumentos que substituem o contrato? </t>
  </si>
  <si>
    <t>Termos Aditivos</t>
  </si>
  <si>
    <t>A íntegra dos Termos Aditivos assinados?</t>
  </si>
  <si>
    <t>Projeto básico ou Termo de Referência</t>
  </si>
  <si>
    <t>A íntegra do Projeto Básico, Termo de Referência e documento similar, desde que não tenha sido considerado sigiloso?</t>
  </si>
  <si>
    <t>Dispensa ou Inexigibilidade de licitação</t>
  </si>
  <si>
    <t>A íntegra da autorização da dispensa ou inexigibilidade de licitação, desde que não tenha sido considerada sigilosa?</t>
  </si>
  <si>
    <t>Convênios</t>
  </si>
  <si>
    <t>O órgão publica no sítio eletrônico a íntegra dos instrumentos de cooperação (convênios, termos de cooperação, de compromisso, protocolo de intenções, acordos de cooperação técnica e outros instrumentos congêneres) vigentes, exceto os sigilosos, nos termos da legislação?</t>
  </si>
  <si>
    <t>GESTÃO DE PESSOAS</t>
  </si>
  <si>
    <t>Estrutura remuneratória dos cargos efetivos</t>
  </si>
  <si>
    <t>O Anexo III-a da Resolução CNJ nº 102/2009(estrutura remuneratória dos cargos efetivos)?</t>
  </si>
  <si>
    <t>DIGEP</t>
  </si>
  <si>
    <t>Estrutura remuneratória dos cargos comissionados</t>
  </si>
  <si>
    <t>O Anexo III-b da Resolução CNJ nº 102/2009(estrutura remuneratória dos cargos em comissão e dasfunções de confiança)?</t>
  </si>
  <si>
    <t>Estrutura remuneratória dos magistrados</t>
  </si>
  <si>
    <t>O Anexo III-c da Resolução CNJ nº 102/2009(estrutura remuneratória de membros da magistratura)?</t>
  </si>
  <si>
    <t>Publicação dos Cargos Efetivos</t>
  </si>
  <si>
    <t>Alínea “a” (cargos efetivos do quadro de pessoal doórgão)</t>
  </si>
  <si>
    <t>Publicação dos Cargos em Comissão e Funções de Confiança</t>
  </si>
  <si>
    <t>Alínea “b” (cargos em comissão e funções deconfiança do quadro de pessoal do órgão)</t>
  </si>
  <si>
    <t>Origem funcional dos cargos comissionados</t>
  </si>
  <si>
    <t>Alínea “c” (origem funcional dos(as) ocupantes decargos em comissão e funções de confiança)</t>
  </si>
  <si>
    <t>Situação Funcional dos servidores ativos</t>
  </si>
  <si>
    <t>Alínea “d” (situação funcional dos(as) servidores(as)ativos(as) do quadro de pessoal do órgão)</t>
  </si>
  <si>
    <t>Publicação dos cargos de magistrados</t>
  </si>
  <si>
    <t>Alínea “e” (cargos de magistrados(as) do quadro depessoal do órgão) (Não se aplica a TRE's e TSE)</t>
  </si>
  <si>
    <t>Situação Funcional dos magistrados ativos</t>
  </si>
  <si>
    <t>Alínea “f” (situação funcional dos(as) magistrados(as)ativos(as) do quadro de pessoal do órgão) (Não se aplicaa TRE's e TSE)</t>
  </si>
  <si>
    <t>Magistrados não integrantes do quadro próprio</t>
  </si>
  <si>
    <t>Alínea “g” (magistrados(as) não integrantes do quadropróprio em exercício no órgão)</t>
  </si>
  <si>
    <t>Quantitativo de beneficiários e dependentes</t>
  </si>
  <si>
    <t>Alínea “h” (quantitativos de beneficiários(as) edependentes de benefícios assistenciais)</t>
  </si>
  <si>
    <t>Relação completa dos membros da magistratura</t>
  </si>
  <si>
    <t>O Anexo V da Resolução CNJ nº 102/2009 (divulgaçãoda relação completa de membros da magistratura e demaisagentes públicos, efetivos(as) ou não)?</t>
  </si>
  <si>
    <t>Relação dos terceirizados</t>
  </si>
  <si>
    <t>O Anexo VI da Resolução CNJ nº 102/2009(relação completa dos(as) empregados(as) de empresascontratadas, em exercício nos órgãos)?</t>
  </si>
  <si>
    <t>0/ 3</t>
  </si>
  <si>
    <t>Relação dos requisitados</t>
  </si>
  <si>
    <t>O Anexo VII da Resolução CNJ nº 102/2009(divulgação da relação completa de servidores(as) e/ouempregados(as) não integrantes do quadro próprio, emexercício no órgão mediante requisição, cessão, exercíciotemporário ou qualquer outra forma, excluídos(as) os(as)ocupantes de cargos em comissão e funções deconfiança)?</t>
  </si>
  <si>
    <t>Publicação da TLP</t>
  </si>
  <si>
    <t>A Tabela de Lotação de Pessoal (TLP) na qualconstem todas as unidades administrativas e judiciárias,com identificação nominal dos(as) servidores(as), cargosefetivos, cargos em comissão e funções ocupadas?</t>
  </si>
  <si>
    <t>Servidores cedidos para outros órgãos</t>
  </si>
  <si>
    <t>A relação de membros e servidores que se encontram afastados para o exercício de funções em outros órgãos da Administração Pública?</t>
  </si>
  <si>
    <t>Remuneração dos Servidores</t>
  </si>
  <si>
    <t>A remuneração e os proventos de membros, servidores, ativo, aposentado, pensionista e colaboradores?</t>
  </si>
  <si>
    <t>Publicação das Diárias e Passagens</t>
  </si>
  <si>
    <t>Mensalmente, as diárias e passagens concedidas, por nome e cargo do favorecido, além de data, destino, motivo da viagem e valor das diárias pagas e dos bilhetes emitidos?</t>
  </si>
  <si>
    <t>Servidores que estão em teletrabalho</t>
  </si>
  <si>
    <t>O tribunal divulga os nomes dos servidores que atuam no regime de teletrabalho, com atualização mínima semestral?</t>
  </si>
  <si>
    <t>Relação dos Peritos</t>
  </si>
  <si>
    <t>O tribunal divulga na internet a relação dos profissionais ou órgãos cadastrados no Cadastro Eletrônico de Peritos e Órgãos Técnicos ou Científicos? (Não se aplica ao STM, CNJ, CJF, CSJT, STJ, TSE, TST e TRE’s).</t>
  </si>
  <si>
    <t>AUDITORIA E PRESTAÇÃO DE CONTAS</t>
  </si>
  <si>
    <t>Prestações de contas do ano anterior</t>
  </si>
  <si>
    <t>Prestações de contas do ano anterior?</t>
  </si>
  <si>
    <t>Regularidade das contas proferida pelo Órgão de Controle Externo</t>
  </si>
  <si>
    <t>Publicação da decisão quanto à regularidade das contas proferida pelo Órgão de Controle Externo?</t>
  </si>
  <si>
    <t>Certificado de auditoria</t>
  </si>
  <si>
    <t>Certificado de Auditoria contendo o Parecer do Órgão de Controle Interno (órgãos federais) e demais exigências da legislação de prestação de contas (órgãos estaduais)?</t>
  </si>
  <si>
    <t>GEAUD</t>
  </si>
  <si>
    <t>Plano Anual de Auditoria</t>
  </si>
  <si>
    <t>Plano Anual de Auditoria (PAA)?</t>
  </si>
  <si>
    <t>Plano Anual de Capacitação de Auditoria</t>
  </si>
  <si>
    <t>Plano Anual de Capacitação de Auditoria (PAC-Aud)?</t>
  </si>
  <si>
    <t>Relatório Anual das Atividades Exercidas</t>
  </si>
  <si>
    <t>Relatório Anual das Atividades Exercidas (auditoria)?</t>
  </si>
  <si>
    <t>SUSTENTABILIDADE E ACESSIBILIDADE</t>
  </si>
  <si>
    <t>PLS</t>
  </si>
  <si>
    <t>O Plano de Logística Sustentável (PLS)?</t>
  </si>
  <si>
    <t>Plano de ação do PLS</t>
  </si>
  <si>
    <t>O plano de ação do PLS?</t>
  </si>
  <si>
    <t>Relatório de desempenho do PLS</t>
  </si>
  <si>
    <t>O relatório anual de desempenho do PLS?</t>
  </si>
  <si>
    <t>Comissão Gestora do PLS</t>
  </si>
  <si>
    <t>A composição e o contato da Comissão Gestora do PLS?</t>
  </si>
  <si>
    <t>Ínterprete de Libras</t>
  </si>
  <si>
    <t>O órgão utiliza intérprete de Língua Brasileira de Sinais(Libras) em manifestações públicas?</t>
  </si>
  <si>
    <t>Planejamento das Ações de Acessibilidade</t>
  </si>
  <si>
    <t>O órgão disponibiliza o planejamento das ações de acessibilidade?</t>
  </si>
  <si>
    <t>Site em aderência ao e-mag</t>
  </si>
  <si>
    <t>O portal (sítio) institucional permite o acesso ao conteúdo para pessoas com deficiência, em atendimento ao estabelecido pela Resolução CNJ nº 215/2015 (Art. 6º, § 4º, VIII) e em aderência ao Modelo de Acessibilidade em Governº Eletrônico (eMAG)?</t>
  </si>
  <si>
    <t>11.II</t>
  </si>
  <si>
    <t>Tempo médio do atendimento das demandas</t>
  </si>
  <si>
    <t>Responder, em até 30 (trinta) dias e com caráter resolutivo, às demandas encaminhadas ao tribunal pela ouvidoria do CNJ</t>
  </si>
  <si>
    <t>COLAR AQUI</t>
  </si>
  <si>
    <t>2. PRODUTIVIDADE - Cumprimento das Metas Nacionais - Meta 1</t>
  </si>
  <si>
    <t>CUMPRIDO OU EM CUMPRIMENTO</t>
  </si>
  <si>
    <t>Não se aplica</t>
  </si>
  <si>
    <t>2. PRODUTIVIDADE - Incidentes de progressão de regime</t>
  </si>
  <si>
    <t>NÃO CUMPRIDO</t>
  </si>
  <si>
    <t>2. PRODUTIVIDADE - Redução da Taxa de Congestionamento Líquida - Taxa de Congestionamento Líquida</t>
  </si>
  <si>
    <t>PARCIALMENTE CUMPRIDO</t>
  </si>
  <si>
    <t>Renata da Camara Pires Belmon</t>
  </si>
  <si>
    <t>Gustavo Pessoa Tavares de Lyra</t>
  </si>
  <si>
    <t>Joao Benedito da Silva</t>
  </si>
  <si>
    <t>Renan do Valle Melo Marques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</si>
</sst>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d/m/yyyy"/>
  </numFmts>
  <fonts count="20">
    <font>
      <sz val="10.0"/>
      <color rgb="FF000000"/>
      <name val="Arial"/>
      <scheme val="minor"/>
    </font>
    <font>
      <b/>
      <sz val="12.0"/>
      <color rgb="FF000000"/>
      <name val="Times New Roman"/>
    </font>
    <font>
      <b/>
      <u/>
      <sz val="12.0"/>
      <color rgb="FF0000FF"/>
      <name val="Times New Roman"/>
    </font>
    <font>
      <b/>
      <sz val="12.0"/>
      <color theme="1"/>
      <name val="Times New Roman"/>
    </font>
    <font>
      <color theme="1"/>
      <name val="Arial"/>
      <scheme val="minor"/>
    </font>
    <font>
      <b/>
      <color theme="1"/>
      <name val="Arial"/>
      <scheme val="minor"/>
    </font>
    <font>
      <color rgb="FFFFFFFF"/>
      <name val="Arial"/>
      <scheme val="minor"/>
    </font>
    <font>
      <sz val="12.0"/>
      <color theme="1"/>
      <name val="Times New Roman"/>
    </font>
    <font>
      <sz val="11.0"/>
      <color theme="1"/>
      <name val="Calibri"/>
    </font>
    <font>
      <u/>
      <sz val="11.0"/>
      <color theme="1"/>
      <name val="Calibri"/>
    </font>
    <font>
      <u/>
      <sz val="11.0"/>
      <color theme="1"/>
      <name val="Calibri"/>
    </font>
    <font>
      <u/>
      <sz val="11.0"/>
      <color theme="1"/>
      <name val="Calibri"/>
    </font>
    <font>
      <u/>
      <sz val="12.0"/>
      <color rgb="FF0000FF"/>
      <name val="Times New Roman"/>
    </font>
    <font>
      <u/>
      <sz val="12.0"/>
      <color rgb="FF0000FF"/>
      <name val="Times New Roman"/>
    </font>
    <font>
      <u/>
      <sz val="11.0"/>
      <color theme="1"/>
      <name val="Calibri"/>
    </font>
    <font>
      <u/>
      <sz val="11.0"/>
      <color theme="1"/>
      <name val="Calibri"/>
    </font>
    <font>
      <b/>
      <color rgb="FF434343"/>
      <name val="Roboto"/>
    </font>
    <font/>
    <font>
      <color rgb="FF434343"/>
      <name val="Roboto"/>
    </font>
    <font>
      <u/>
      <color theme="1"/>
      <name val="Arial"/>
      <scheme val="minor"/>
    </font>
  </fonts>
  <fills count="9">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00FF00"/>
        <bgColor rgb="FF00FF00"/>
      </patternFill>
    </fill>
    <fill>
      <patternFill patternType="solid">
        <fgColor rgb="FFFF0000"/>
        <bgColor rgb="FFFF0000"/>
      </patternFill>
    </fill>
    <fill>
      <patternFill patternType="solid">
        <fgColor rgb="FF00FFFF"/>
        <bgColor rgb="FF00FFFF"/>
      </patternFill>
    </fill>
    <fill>
      <patternFill patternType="solid">
        <fgColor rgb="FFFFFF00"/>
        <bgColor rgb="FFFFFF00"/>
      </patternFill>
    </fill>
    <fill>
      <patternFill patternType="solid">
        <fgColor rgb="FFF8F9FA"/>
        <bgColor rgb="FFF8F9FA"/>
      </patternFill>
    </fill>
  </fills>
  <borders count="12">
    <border/>
    <border>
      <left style="thin">
        <color rgb="FF000000"/>
      </left>
      <right style="thin">
        <color rgb="FF000000"/>
      </right>
      <top style="thin">
        <color rgb="FF000000"/>
      </top>
      <bottom style="thin">
        <color rgb="FF000000"/>
      </bottom>
    </border>
    <border>
      <bottom style="dotted">
        <color rgb="FF000000"/>
      </bottom>
    </border>
    <border>
      <right style="dotted">
        <color rgb="FF000000"/>
      </right>
      <bottom style="dotted">
        <color rgb="FF000000"/>
      </bottom>
    </border>
    <border>
      <left style="dotted">
        <color rgb="FF000000"/>
      </left>
      <bottom style="dotted">
        <color rgb="FF000000"/>
      </bottom>
    </border>
    <border>
      <left style="thin">
        <color rgb="FFFFFFFF"/>
      </left>
      <right style="dotted">
        <color rgb="FF000000"/>
      </right>
      <top style="dotted">
        <color rgb="FF000000"/>
      </top>
      <bottom style="dotted">
        <color rgb="FF000000"/>
      </bottom>
    </border>
    <border>
      <left style="dotted">
        <color rgb="FF000000"/>
      </left>
      <right style="dotted">
        <color rgb="FF000000"/>
      </right>
      <top style="dotted">
        <color rgb="FF000000"/>
      </top>
      <bottom style="dotted">
        <color rgb="FF000000"/>
      </bottom>
    </border>
    <border>
      <left style="dotted">
        <color rgb="FF000000"/>
      </left>
      <top style="dotted">
        <color rgb="FF000000"/>
      </top>
      <bottom style="dotted">
        <color rgb="FF000000"/>
      </bottom>
    </border>
    <border>
      <left style="thin">
        <color rgb="FFF8F9FA"/>
      </left>
      <right style="dotted">
        <color rgb="FF000000"/>
      </right>
      <top style="dotted">
        <color rgb="FF000000"/>
      </top>
      <bottom style="dotted">
        <color rgb="FF000000"/>
      </bottom>
    </border>
    <border>
      <left style="thin">
        <color rgb="FFFFFFFF"/>
      </left>
      <right style="dotted">
        <color rgb="FF000000"/>
      </right>
      <top style="dotted">
        <color rgb="FF000000"/>
      </top>
      <bottom style="thin">
        <color rgb="FF442F65"/>
      </bottom>
    </border>
    <border>
      <left style="dotted">
        <color rgb="FF000000"/>
      </left>
      <right style="dotted">
        <color rgb="FF000000"/>
      </right>
      <top style="dotted">
        <color rgb="FF000000"/>
      </top>
      <bottom style="thin">
        <color rgb="FF442F65"/>
      </bottom>
    </border>
    <border>
      <left style="dotted">
        <color rgb="FF000000"/>
      </left>
      <top style="dotted">
        <color rgb="FF000000"/>
      </top>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2" numFmtId="0" xfId="0" applyAlignment="1" applyBorder="1" applyFont="1">
      <alignment horizontal="center" readingOrder="0" shrinkToFit="0" vertical="center" wrapText="1"/>
    </xf>
    <xf borderId="1" fillId="2" fontId="3" numFmtId="0" xfId="0" applyAlignment="1" applyBorder="1" applyFont="1">
      <alignment horizontal="center" readingOrder="0" shrinkToFit="0" vertical="center" wrapText="1"/>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3" fontId="6" numFmtId="0" xfId="0" applyAlignment="1" applyFill="1" applyFont="1">
      <alignment horizontal="center" readingOrder="0" vertical="center"/>
    </xf>
    <xf borderId="0" fillId="3" fontId="6" numFmtId="0" xfId="0" applyAlignment="1" applyFont="1">
      <alignment horizontal="center" readingOrder="0" shrinkToFit="0" vertical="center" wrapText="1"/>
    </xf>
    <xf borderId="0" fillId="0" fontId="4" numFmtId="0" xfId="0" applyAlignment="1" applyFont="1">
      <alignment horizontal="center" vertical="center"/>
    </xf>
    <xf borderId="1" fillId="2" fontId="7" numFmtId="0" xfId="0" applyAlignment="1" applyBorder="1" applyFont="1">
      <alignment horizontal="left" readingOrder="0" shrinkToFit="0" vertical="center" wrapText="1"/>
    </xf>
    <xf borderId="1" fillId="2" fontId="7" numFmtId="0" xfId="0" applyAlignment="1" applyBorder="1" applyFont="1">
      <alignment horizontal="center" readingOrder="0" shrinkToFit="0" vertical="center" wrapText="1"/>
    </xf>
    <xf borderId="1" fillId="0" fontId="7" numFmtId="0" xfId="0" applyAlignment="1" applyBorder="1" applyFont="1">
      <alignment horizontal="left" readingOrder="0" shrinkToFit="0" vertical="center" wrapText="1"/>
    </xf>
    <xf borderId="1" fillId="0" fontId="8" numFmtId="0" xfId="0" applyAlignment="1" applyBorder="1" applyFont="1">
      <alignment horizontal="center" readingOrder="0" shrinkToFit="0" vertical="center" wrapText="1"/>
    </xf>
    <xf borderId="1" fillId="0" fontId="5" numFmtId="9" xfId="0" applyAlignment="1" applyBorder="1" applyFont="1" applyNumberFormat="1">
      <alignment horizontal="center" readingOrder="0" shrinkToFit="0" vertical="center" wrapText="1"/>
    </xf>
    <xf borderId="1" fillId="0" fontId="9" numFmtId="0" xfId="0" applyAlignment="1" applyBorder="1" applyFont="1">
      <alignment horizontal="center" readingOrder="0" shrinkToFit="0" vertical="center" wrapText="1"/>
    </xf>
    <xf borderId="1" fillId="4" fontId="10" numFmtId="0" xfId="0" applyAlignment="1" applyBorder="1" applyFill="1" applyFont="1">
      <alignment horizontal="center" readingOrder="0" shrinkToFit="0" vertical="center" wrapText="1"/>
    </xf>
    <xf borderId="1" fillId="0" fontId="4" numFmtId="0" xfId="0" applyAlignment="1" applyBorder="1" applyFont="1">
      <alignment horizontal="center" vertical="center"/>
    </xf>
    <xf borderId="1" fillId="0" fontId="4" numFmtId="0" xfId="0" applyAlignment="1" applyBorder="1" applyFont="1">
      <alignment horizontal="center" readingOrder="0" vertical="center"/>
    </xf>
    <xf borderId="1" fillId="0" fontId="4" numFmtId="164" xfId="0" applyAlignment="1" applyBorder="1" applyFont="1" applyNumberFormat="1">
      <alignment horizontal="center" readingOrder="0" shrinkToFit="0" vertical="center" wrapText="1"/>
    </xf>
    <xf borderId="1" fillId="0" fontId="4" numFmtId="0" xfId="0" applyAlignment="1" applyBorder="1" applyFont="1">
      <alignment horizontal="center" shrinkToFit="0" vertical="center" wrapText="1"/>
    </xf>
    <xf borderId="0" fillId="3" fontId="6" numFmtId="0" xfId="0" applyFont="1"/>
    <xf borderId="0" fillId="3" fontId="6" numFmtId="0" xfId="0" applyAlignment="1" applyFont="1">
      <alignment vertical="center"/>
    </xf>
    <xf borderId="0" fillId="3" fontId="6" numFmtId="0" xfId="0" applyAlignment="1" applyFont="1">
      <alignment shrinkToFit="0" vertical="center" wrapText="1"/>
    </xf>
    <xf borderId="0" fillId="0" fontId="4" numFmtId="0" xfId="0" applyAlignment="1" applyFont="1">
      <alignment vertical="center"/>
    </xf>
    <xf borderId="1" fillId="4" fontId="11" numFmtId="0" xfId="0" applyAlignment="1" applyBorder="1" applyFont="1">
      <alignment horizontal="center" shrinkToFit="0" vertical="center" wrapText="1"/>
    </xf>
    <xf borderId="1" fillId="0" fontId="4" numFmtId="0" xfId="0" applyAlignment="1" applyBorder="1" applyFont="1">
      <alignment horizontal="center" readingOrder="0"/>
    </xf>
    <xf borderId="1" fillId="0" fontId="4" numFmtId="165" xfId="0" applyAlignment="1" applyBorder="1" applyFont="1" applyNumberFormat="1">
      <alignment horizontal="center" readingOrder="0" shrinkToFit="0" vertical="center" wrapText="1"/>
    </xf>
    <xf borderId="1" fillId="0" fontId="4" numFmtId="0" xfId="0" applyAlignment="1" applyBorder="1" applyFont="1">
      <alignment horizontal="center"/>
    </xf>
    <xf borderId="1" fillId="2" fontId="7" numFmtId="0" xfId="0" applyAlignment="1" applyBorder="1" applyFont="1">
      <alignment horizontal="center" readingOrder="0" shrinkToFit="0" vertical="center" wrapText="1"/>
    </xf>
    <xf borderId="1" fillId="2" fontId="7" numFmtId="0" xfId="0" applyAlignment="1" applyBorder="1" applyFont="1">
      <alignment horizontal="center" readingOrder="0" shrinkToFit="0" vertical="center" wrapText="1"/>
    </xf>
    <xf borderId="1" fillId="0" fontId="4" numFmtId="164" xfId="0" applyAlignment="1" applyBorder="1" applyFont="1" applyNumberFormat="1">
      <alignment horizontal="center" readingOrder="0" vertical="center"/>
    </xf>
    <xf borderId="1" fillId="5" fontId="7" numFmtId="0" xfId="0" applyAlignment="1" applyBorder="1" applyFill="1" applyFont="1">
      <alignment horizontal="center" readingOrder="0" shrinkToFit="0" vertical="center" wrapText="1"/>
    </xf>
    <xf borderId="1" fillId="2" fontId="12" numFmtId="0" xfId="0" applyAlignment="1" applyBorder="1" applyFont="1">
      <alignment horizontal="left" readingOrder="0" shrinkToFit="0" vertical="center" wrapText="1"/>
    </xf>
    <xf borderId="1" fillId="6" fontId="7" numFmtId="0" xfId="0" applyAlignment="1" applyBorder="1" applyFill="1" applyFont="1">
      <alignment horizontal="left" readingOrder="0" shrinkToFit="0" vertical="center" wrapText="1"/>
    </xf>
    <xf borderId="1" fillId="6" fontId="13" numFmtId="0" xfId="0" applyAlignment="1" applyBorder="1" applyFont="1">
      <alignment horizontal="left" readingOrder="0" shrinkToFit="0" vertical="center" wrapText="1"/>
    </xf>
    <xf borderId="1" fillId="4" fontId="7" numFmtId="0" xfId="0" applyAlignment="1" applyBorder="1" applyFont="1">
      <alignment horizontal="left" readingOrder="0" shrinkToFit="0" vertical="center" wrapText="1"/>
    </xf>
    <xf borderId="1" fillId="7" fontId="14" numFmtId="0" xfId="0" applyAlignment="1" applyBorder="1" applyFill="1" applyFont="1">
      <alignment horizontal="center" readingOrder="0" shrinkToFit="0" vertical="center" wrapText="1"/>
    </xf>
    <xf borderId="1" fillId="0" fontId="15" numFmtId="0" xfId="0" applyAlignment="1" applyBorder="1" applyFont="1">
      <alignment horizontal="center" shrinkToFit="0" vertical="center" wrapText="1"/>
    </xf>
    <xf borderId="0" fillId="0" fontId="4" numFmtId="0" xfId="0" applyAlignment="1" applyFont="1">
      <alignment horizontal="center" readingOrder="0" vertical="center"/>
    </xf>
    <xf borderId="0" fillId="0" fontId="4" numFmtId="0" xfId="0" applyAlignment="1" applyFont="1">
      <alignment horizontal="center" shrinkToFit="0" vertical="center" wrapText="1"/>
    </xf>
    <xf borderId="0" fillId="0" fontId="4" numFmtId="0" xfId="0" applyAlignment="1" applyFont="1">
      <alignment horizontal="center"/>
    </xf>
    <xf borderId="0" fillId="3" fontId="6" numFmtId="0" xfId="0" applyAlignment="1" applyFont="1">
      <alignment shrinkToFit="0" wrapText="1"/>
    </xf>
    <xf borderId="2" fillId="7" fontId="16" numFmtId="0" xfId="0" applyAlignment="1" applyBorder="1" applyFont="1">
      <alignment readingOrder="0" shrinkToFit="0" vertical="center" wrapText="1"/>
    </xf>
    <xf borderId="2" fillId="0" fontId="17" numFmtId="0" xfId="0" applyBorder="1" applyFont="1"/>
    <xf borderId="3" fillId="0" fontId="17" numFmtId="0" xfId="0" applyBorder="1" applyFont="1"/>
    <xf borderId="4" fillId="0" fontId="5" numFmtId="0" xfId="0" applyAlignment="1" applyBorder="1" applyFont="1">
      <alignment horizontal="center" readingOrder="0" shrinkToFit="0" wrapText="1"/>
    </xf>
    <xf borderId="5" fillId="2" fontId="18" numFmtId="0" xfId="0" applyAlignment="1" applyBorder="1" applyFont="1">
      <alignment shrinkToFit="0" vertical="center" wrapText="1"/>
    </xf>
    <xf borderId="6" fillId="2" fontId="18" numFmtId="0" xfId="0" applyAlignment="1" applyBorder="1" applyFont="1">
      <alignment shrinkToFit="0" vertical="center" wrapText="0"/>
    </xf>
    <xf borderId="7" fillId="2" fontId="16" numFmtId="0" xfId="0" applyAlignment="1" applyBorder="1" applyFont="1">
      <alignment horizontal="center" shrinkToFit="0" vertical="center" wrapText="0"/>
    </xf>
    <xf borderId="8" fillId="8" fontId="18" numFmtId="0" xfId="0" applyAlignment="1" applyBorder="1" applyFill="1" applyFont="1">
      <alignment shrinkToFit="0" vertical="center" wrapText="1"/>
    </xf>
    <xf borderId="6" fillId="8" fontId="18" numFmtId="0" xfId="0" applyAlignment="1" applyBorder="1" applyFont="1">
      <alignment shrinkToFit="0" vertical="center" wrapText="0"/>
    </xf>
    <xf borderId="9" fillId="2" fontId="18" numFmtId="0" xfId="0" applyAlignment="1" applyBorder="1" applyFont="1">
      <alignment shrinkToFit="0" vertical="center" wrapText="1"/>
    </xf>
    <xf borderId="10" fillId="2" fontId="18" numFmtId="0" xfId="0" applyAlignment="1" applyBorder="1" applyFont="1">
      <alignment shrinkToFit="0" vertical="center" wrapText="0"/>
    </xf>
    <xf borderId="10" fillId="2" fontId="18" numFmtId="0" xfId="0" applyAlignment="1" applyBorder="1" applyFont="1">
      <alignment horizontal="right" shrinkToFit="0" vertical="center" wrapText="0"/>
    </xf>
    <xf borderId="11" fillId="2" fontId="16" numFmtId="0" xfId="0" applyAlignment="1" applyBorder="1" applyFont="1">
      <alignment horizontal="center" shrinkToFit="0" vertical="center" wrapText="0"/>
    </xf>
    <xf borderId="0" fillId="0" fontId="19" numFmtId="0" xfId="0" applyAlignment="1" applyFont="1">
      <alignment readingOrder="0"/>
    </xf>
  </cellXfs>
  <cellStyles count="1">
    <cellStyle xfId="0" name="Normal" builtinId="0"/>
  </cellStyles>
  <dxfs count="5">
    <dxf>
      <font>
        <b/>
        <color rgb="FFFF0000"/>
      </font>
      <fill>
        <patternFill patternType="solid">
          <fgColor rgb="FFF4CCCC"/>
          <bgColor rgb="FFF4CCCC"/>
        </patternFill>
      </fill>
      <border/>
    </dxf>
    <dxf>
      <font>
        <color rgb="FFFF9900"/>
      </font>
      <fill>
        <patternFill patternType="solid">
          <fgColor rgb="FFFFF2CC"/>
          <bgColor rgb="FFFFF2CC"/>
        </patternFill>
      </fill>
      <border/>
    </dxf>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Parcial - Prestação de contas-style">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D4" displayName="Table_1" name="Table_1" id="1">
  <tableColumns count="4">
    <tableColumn name="Column1" id="1"/>
    <tableColumn name="Column2" id="2"/>
    <tableColumn name="Column3" id="3"/>
    <tableColumn name="Column4" id="4"/>
  </tableColumns>
  <tableStyleInfo name="Parcial - Prestação de conta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mailto:mariadosremedios@tjpb.jus.br" TargetMode="External"/><Relationship Id="rId194" Type="http://schemas.openxmlformats.org/officeDocument/2006/relationships/hyperlink" Target="mailto:mariadosremedios@tjpb.jus.br" TargetMode="External"/><Relationship Id="rId193" Type="http://schemas.openxmlformats.org/officeDocument/2006/relationships/hyperlink" Target="mailto:alirio.brito@tjpb.jus.br" TargetMode="External"/><Relationship Id="rId192" Type="http://schemas.openxmlformats.org/officeDocument/2006/relationships/hyperlink" Target="mailto:mariadosremedios@tjpb.jus.br" TargetMode="External"/><Relationship Id="rId191" Type="http://schemas.openxmlformats.org/officeDocument/2006/relationships/hyperlink" Target="mailto:alirio.brito@tjpb.jus.br" TargetMode="External"/><Relationship Id="rId187" Type="http://schemas.openxmlformats.org/officeDocument/2006/relationships/hyperlink" Target="mailto:alirio.brito@tjpb.jus.br" TargetMode="External"/><Relationship Id="rId186" Type="http://schemas.openxmlformats.org/officeDocument/2006/relationships/hyperlink" Target="mailto:deborah.figueiredo@tjpb.jus.br" TargetMode="External"/><Relationship Id="rId185" Type="http://schemas.openxmlformats.org/officeDocument/2006/relationships/hyperlink" Target="mailto:alirio.brito@tjpb.jus.br" TargetMode="External"/><Relationship Id="rId184" Type="http://schemas.openxmlformats.org/officeDocument/2006/relationships/hyperlink" Target="mailto:deborah.figueiredo@tjpb.jus.br" TargetMode="External"/><Relationship Id="rId189" Type="http://schemas.openxmlformats.org/officeDocument/2006/relationships/hyperlink" Target="mailto:alirio.brito@tjpb.jus.br" TargetMode="External"/><Relationship Id="rId188" Type="http://schemas.openxmlformats.org/officeDocument/2006/relationships/hyperlink" Target="mailto:andrea.arcoverde@tjpb.jus.br" TargetMode="External"/><Relationship Id="rId183" Type="http://schemas.openxmlformats.org/officeDocument/2006/relationships/hyperlink" Target="mailto:alirio.brito@tjpb.jus.br" TargetMode="External"/><Relationship Id="rId182" Type="http://schemas.openxmlformats.org/officeDocument/2006/relationships/hyperlink" Target="mailto:meales@tjpb.jus.br" TargetMode="External"/><Relationship Id="rId181" Type="http://schemas.openxmlformats.org/officeDocument/2006/relationships/hyperlink" Target="mailto:alirio.brito@tjpb.jus.br" TargetMode="External"/><Relationship Id="rId180" Type="http://schemas.openxmlformats.org/officeDocument/2006/relationships/hyperlink" Target="mailto:meales@tjpb.jus.br" TargetMode="External"/><Relationship Id="rId176" Type="http://schemas.openxmlformats.org/officeDocument/2006/relationships/hyperlink" Target="mailto:marcial.henrique@tjpb.jus.br" TargetMode="External"/><Relationship Id="rId297" Type="http://schemas.openxmlformats.org/officeDocument/2006/relationships/hyperlink" Target="mailto:pedro.vasconcelos@tjpb.jus.br" TargetMode="External"/><Relationship Id="rId175" Type="http://schemas.openxmlformats.org/officeDocument/2006/relationships/hyperlink" Target="mailto:alirio.brito@tjpb.jus.br" TargetMode="External"/><Relationship Id="rId296" Type="http://schemas.openxmlformats.org/officeDocument/2006/relationships/hyperlink" Target="mailto:pedro.vasconcelos@tjpb.jus.br" TargetMode="External"/><Relationship Id="rId174" Type="http://schemas.openxmlformats.org/officeDocument/2006/relationships/hyperlink" Target="mailto:marcial.henrique@tjpb.jus.br" TargetMode="External"/><Relationship Id="rId295" Type="http://schemas.openxmlformats.org/officeDocument/2006/relationships/hyperlink" Target="mailto:pedro.vasconcelos@tjpb.jus.br" TargetMode="External"/><Relationship Id="rId173" Type="http://schemas.openxmlformats.org/officeDocument/2006/relationships/hyperlink" Target="mailto:alirio.brito@tjpb.jus.br" TargetMode="External"/><Relationship Id="rId294" Type="http://schemas.openxmlformats.org/officeDocument/2006/relationships/hyperlink" Target="mailto:jeremias.melo@tjpb.jus.br" TargetMode="External"/><Relationship Id="rId179" Type="http://schemas.openxmlformats.org/officeDocument/2006/relationships/hyperlink" Target="mailto:alirio.brito@tjpb.jus.br" TargetMode="External"/><Relationship Id="rId178" Type="http://schemas.openxmlformats.org/officeDocument/2006/relationships/hyperlink" Target="mailto:frederico.coutinho@tjpb.jus.br" TargetMode="External"/><Relationship Id="rId299" Type="http://schemas.openxmlformats.org/officeDocument/2006/relationships/hyperlink" Target="mailto:pedro.vasconcelos@tjpb.jus.br" TargetMode="External"/><Relationship Id="rId177" Type="http://schemas.openxmlformats.org/officeDocument/2006/relationships/hyperlink" Target="mailto:alirio.brito@tjpb.jus.br" TargetMode="External"/><Relationship Id="rId298" Type="http://schemas.openxmlformats.org/officeDocument/2006/relationships/hyperlink" Target="mailto:fabioaraujocg@tjpb.jus.br" TargetMode="External"/><Relationship Id="rId198" Type="http://schemas.openxmlformats.org/officeDocument/2006/relationships/hyperlink" Target="mailto:paula.frassinetti@tjpb.jus.br" TargetMode="External"/><Relationship Id="rId197" Type="http://schemas.openxmlformats.org/officeDocument/2006/relationships/hyperlink" Target="mailto:anderley.marques@tjpb.jus.br" TargetMode="External"/><Relationship Id="rId196" Type="http://schemas.openxmlformats.org/officeDocument/2006/relationships/hyperlink" Target="mailto:paula.frassinetti@tjpb.jus.br" TargetMode="External"/><Relationship Id="rId195" Type="http://schemas.openxmlformats.org/officeDocument/2006/relationships/hyperlink" Target="mailto:anderley.marques@tjpb.jus.br" TargetMode="External"/><Relationship Id="rId199" Type="http://schemas.openxmlformats.org/officeDocument/2006/relationships/hyperlink" Target="mailto:anderley.marques@tjpb.jus.br" TargetMode="External"/><Relationship Id="rId150" Type="http://schemas.openxmlformats.org/officeDocument/2006/relationships/hyperlink" Target="mailto:alirio.brito@tjpb.jus.br" TargetMode="External"/><Relationship Id="rId271" Type="http://schemas.openxmlformats.org/officeDocument/2006/relationships/hyperlink" Target="mailto:anderley.marques@tjpb.jus.br" TargetMode="External"/><Relationship Id="rId392" Type="http://schemas.openxmlformats.org/officeDocument/2006/relationships/hyperlink" Target="mailto:fabioaraujocg@tjpb.jus.br" TargetMode="External"/><Relationship Id="rId270" Type="http://schemas.openxmlformats.org/officeDocument/2006/relationships/hyperlink" Target="mailto:max.nunes@tjpb.jus.br" TargetMode="External"/><Relationship Id="rId391" Type="http://schemas.openxmlformats.org/officeDocument/2006/relationships/hyperlink" Target="mailto:pedro.vasconcelos@tjpb.jus.br" TargetMode="External"/><Relationship Id="rId390" Type="http://schemas.openxmlformats.org/officeDocument/2006/relationships/hyperlink" Target="mailto:fabioaraujocg@tjpb.jus.br" TargetMode="External"/><Relationship Id="rId1" Type="http://schemas.openxmlformats.org/officeDocument/2006/relationships/hyperlink" Target="https://atos.cnj.jus.br/atos/detalhar/5880" TargetMode="External"/><Relationship Id="rId2" Type="http://schemas.openxmlformats.org/officeDocument/2006/relationships/hyperlink" Target="mailto:meales@tjpb.jus.br" TargetMode="External"/><Relationship Id="rId3" Type="http://schemas.openxmlformats.org/officeDocument/2006/relationships/hyperlink" Target="mailto:fabioaraujocg@tjpb.jus.br" TargetMode="External"/><Relationship Id="rId149" Type="http://schemas.openxmlformats.org/officeDocument/2006/relationships/hyperlink" Target="mailto:max.nunes@tjpb.jus.br" TargetMode="External"/><Relationship Id="rId4" Type="http://schemas.openxmlformats.org/officeDocument/2006/relationships/hyperlink" Target="mailto:meales@tjpb.jus.br" TargetMode="External"/><Relationship Id="rId148" Type="http://schemas.openxmlformats.org/officeDocument/2006/relationships/hyperlink" Target="mailto:alirio.brito@tjpb.jus.br" TargetMode="External"/><Relationship Id="rId269" Type="http://schemas.openxmlformats.org/officeDocument/2006/relationships/hyperlink" Target="mailto:anderley.marques@tjpb.jus.br" TargetMode="External"/><Relationship Id="rId9" Type="http://schemas.openxmlformats.org/officeDocument/2006/relationships/hyperlink" Target="mailto:fabioaraujocg@tjpb.jus.br" TargetMode="External"/><Relationship Id="rId143" Type="http://schemas.openxmlformats.org/officeDocument/2006/relationships/hyperlink" Target="mailto:meales@tjpb.jus.br" TargetMode="External"/><Relationship Id="rId264" Type="http://schemas.openxmlformats.org/officeDocument/2006/relationships/hyperlink" Target="mailto:max.nunes@tjpb.jus.br" TargetMode="External"/><Relationship Id="rId385" Type="http://schemas.openxmlformats.org/officeDocument/2006/relationships/hyperlink" Target="mailto:pedro.vasconcelos@tjpb.jus.br" TargetMode="External"/><Relationship Id="rId142" Type="http://schemas.openxmlformats.org/officeDocument/2006/relationships/hyperlink" Target="mailto:alirio.brito@tjpb.jus.br" TargetMode="External"/><Relationship Id="rId263" Type="http://schemas.openxmlformats.org/officeDocument/2006/relationships/hyperlink" Target="mailto:anderley.marques@tjpb.jus.br" TargetMode="External"/><Relationship Id="rId384" Type="http://schemas.openxmlformats.org/officeDocument/2006/relationships/hyperlink" Target="mailto:fabioaraujocg@tjpb.jus.br" TargetMode="External"/><Relationship Id="rId141" Type="http://schemas.openxmlformats.org/officeDocument/2006/relationships/hyperlink" Target="mailto:jailson@tjpb.jus.br" TargetMode="External"/><Relationship Id="rId262" Type="http://schemas.openxmlformats.org/officeDocument/2006/relationships/hyperlink" Target="mailto:max.nunes@tjpb.jus.br" TargetMode="External"/><Relationship Id="rId383" Type="http://schemas.openxmlformats.org/officeDocument/2006/relationships/hyperlink" Target="mailto:pedro.vasconcelos@tjpb.jus.br" TargetMode="External"/><Relationship Id="rId140" Type="http://schemas.openxmlformats.org/officeDocument/2006/relationships/hyperlink" Target="mailto:alirio.brito@tjpb.jus.br" TargetMode="External"/><Relationship Id="rId261" Type="http://schemas.openxmlformats.org/officeDocument/2006/relationships/hyperlink" Target="mailto:anderley.marques@tjpb.jus.br" TargetMode="External"/><Relationship Id="rId382" Type="http://schemas.openxmlformats.org/officeDocument/2006/relationships/hyperlink" Target="mailto:fabioaraujocg@tjpb.jus.br" TargetMode="External"/><Relationship Id="rId5" Type="http://schemas.openxmlformats.org/officeDocument/2006/relationships/hyperlink" Target="mailto:fabioaraujocg@tjpb.jus.br" TargetMode="External"/><Relationship Id="rId147" Type="http://schemas.openxmlformats.org/officeDocument/2006/relationships/hyperlink" Target="mailto:graziela@tjpb.jus.br" TargetMode="External"/><Relationship Id="rId268" Type="http://schemas.openxmlformats.org/officeDocument/2006/relationships/hyperlink" Target="mailto:max.nunes@tjpb.jus.br" TargetMode="External"/><Relationship Id="rId389" Type="http://schemas.openxmlformats.org/officeDocument/2006/relationships/hyperlink" Target="mailto:pedro.vasconcelos@tjpb.jus.br" TargetMode="External"/><Relationship Id="rId6" Type="http://schemas.openxmlformats.org/officeDocument/2006/relationships/hyperlink" Target="mailto:meales@tjpb.jus.br" TargetMode="External"/><Relationship Id="rId146" Type="http://schemas.openxmlformats.org/officeDocument/2006/relationships/hyperlink" Target="mailto:alirio.brito@tjpb.jus.br" TargetMode="External"/><Relationship Id="rId267" Type="http://schemas.openxmlformats.org/officeDocument/2006/relationships/hyperlink" Target="mailto:anderley.marques@tjpb.jus.br" TargetMode="External"/><Relationship Id="rId388" Type="http://schemas.openxmlformats.org/officeDocument/2006/relationships/hyperlink" Target="mailto:fabioaraujocg@tjpb.jus.br" TargetMode="External"/><Relationship Id="rId7" Type="http://schemas.openxmlformats.org/officeDocument/2006/relationships/hyperlink" Target="mailto:fabioaraujocg@tjpb.jus.br" TargetMode="External"/><Relationship Id="rId145" Type="http://schemas.openxmlformats.org/officeDocument/2006/relationships/hyperlink" Target="mailto:deborah.figueiredo@tjpb.jus.br" TargetMode="External"/><Relationship Id="rId266" Type="http://schemas.openxmlformats.org/officeDocument/2006/relationships/hyperlink" Target="mailto:max.nunes@tjpb.jus.br" TargetMode="External"/><Relationship Id="rId387" Type="http://schemas.openxmlformats.org/officeDocument/2006/relationships/hyperlink" Target="mailto:pedro.vasconcelos@tjpb.jus.br" TargetMode="External"/><Relationship Id="rId8" Type="http://schemas.openxmlformats.org/officeDocument/2006/relationships/hyperlink" Target="mailto:meales@tjpb.jus.br" TargetMode="External"/><Relationship Id="rId144" Type="http://schemas.openxmlformats.org/officeDocument/2006/relationships/hyperlink" Target="mailto:alirio.brito@tjpb.jus.br" TargetMode="External"/><Relationship Id="rId265" Type="http://schemas.openxmlformats.org/officeDocument/2006/relationships/hyperlink" Target="mailto:anderley.marques@tjpb.jus.br" TargetMode="External"/><Relationship Id="rId386" Type="http://schemas.openxmlformats.org/officeDocument/2006/relationships/hyperlink" Target="mailto:fabioaraujocg@tjpb.jus.br" TargetMode="External"/><Relationship Id="rId260" Type="http://schemas.openxmlformats.org/officeDocument/2006/relationships/hyperlink" Target="mailto:max.nunes@tjpb.jus.br" TargetMode="External"/><Relationship Id="rId381" Type="http://schemas.openxmlformats.org/officeDocument/2006/relationships/hyperlink" Target="mailto:pedro.vasconcelos@tjpb.jus.br" TargetMode="External"/><Relationship Id="rId380" Type="http://schemas.openxmlformats.org/officeDocument/2006/relationships/hyperlink" Target="mailto:fabioaraujocg@tjpb.jus.br" TargetMode="External"/><Relationship Id="rId139" Type="http://schemas.openxmlformats.org/officeDocument/2006/relationships/hyperlink" Target="mailto:kleyber.eulalio@tjpb.jus.br" TargetMode="External"/><Relationship Id="rId138" Type="http://schemas.openxmlformats.org/officeDocument/2006/relationships/hyperlink" Target="mailto:alirio.brito@tjpb.jus.br" TargetMode="External"/><Relationship Id="rId259" Type="http://schemas.openxmlformats.org/officeDocument/2006/relationships/hyperlink" Target="mailto:anderley.marques@tjpb.jus.br" TargetMode="External"/><Relationship Id="rId137" Type="http://schemas.openxmlformats.org/officeDocument/2006/relationships/hyperlink" Target="mailto:alirio.brito@tjpb.jus.br" TargetMode="External"/><Relationship Id="rId258" Type="http://schemas.openxmlformats.org/officeDocument/2006/relationships/hyperlink" Target="mailto:max.nunes@tjpb.jus.br" TargetMode="External"/><Relationship Id="rId379" Type="http://schemas.openxmlformats.org/officeDocument/2006/relationships/hyperlink" Target="mailto:pedro.vasconcelos@tjpb.jus.br" TargetMode="External"/><Relationship Id="rId132" Type="http://schemas.openxmlformats.org/officeDocument/2006/relationships/hyperlink" Target="mailto:kleyber.eulalio@tjpb.jus.br" TargetMode="External"/><Relationship Id="rId253" Type="http://schemas.openxmlformats.org/officeDocument/2006/relationships/hyperlink" Target="mailto:anderley.marques@tjpb.jus.br" TargetMode="External"/><Relationship Id="rId374" Type="http://schemas.openxmlformats.org/officeDocument/2006/relationships/hyperlink" Target="mailto:fabioaraujocg@tjpb.jus.br" TargetMode="External"/><Relationship Id="rId131" Type="http://schemas.openxmlformats.org/officeDocument/2006/relationships/hyperlink" Target="mailto:alirio.brito@tjpb.jus.br" TargetMode="External"/><Relationship Id="rId252" Type="http://schemas.openxmlformats.org/officeDocument/2006/relationships/hyperlink" Target="mailto:max.nunes@tjpb.jus.br" TargetMode="External"/><Relationship Id="rId373" Type="http://schemas.openxmlformats.org/officeDocument/2006/relationships/hyperlink" Target="mailto:pedro.vasconcelos@tjpb.jus.br" TargetMode="External"/><Relationship Id="rId130" Type="http://schemas.openxmlformats.org/officeDocument/2006/relationships/hyperlink" Target="mailto:kleyber.eulalio@tjpb.jus.br" TargetMode="External"/><Relationship Id="rId251" Type="http://schemas.openxmlformats.org/officeDocument/2006/relationships/hyperlink" Target="mailto:anderley.marques@tjpb.jus.br" TargetMode="External"/><Relationship Id="rId372" Type="http://schemas.openxmlformats.org/officeDocument/2006/relationships/hyperlink" Target="mailto:fabioaraujocg@tjpb.jus.br" TargetMode="External"/><Relationship Id="rId250" Type="http://schemas.openxmlformats.org/officeDocument/2006/relationships/hyperlink" Target="mailto:paula.frassinetti@tjpb.jus.br" TargetMode="External"/><Relationship Id="rId371" Type="http://schemas.openxmlformats.org/officeDocument/2006/relationships/hyperlink" Target="mailto:pedro.vasconcelos@tjpb.jus.br" TargetMode="External"/><Relationship Id="rId136" Type="http://schemas.openxmlformats.org/officeDocument/2006/relationships/hyperlink" Target="mailto:alirio.brito@tjpb.jus.br" TargetMode="External"/><Relationship Id="rId257" Type="http://schemas.openxmlformats.org/officeDocument/2006/relationships/hyperlink" Target="mailto:anderley.marques@tjpb.jus.br" TargetMode="External"/><Relationship Id="rId378" Type="http://schemas.openxmlformats.org/officeDocument/2006/relationships/hyperlink" Target="mailto:fabioaraujocg@tjpb.jus.br" TargetMode="External"/><Relationship Id="rId135" Type="http://schemas.openxmlformats.org/officeDocument/2006/relationships/hyperlink" Target="mailto:alirio.brito@tjpb.jus.br" TargetMode="External"/><Relationship Id="rId256" Type="http://schemas.openxmlformats.org/officeDocument/2006/relationships/hyperlink" Target="mailto:max.nunes@tjpb.jus.br" TargetMode="External"/><Relationship Id="rId377" Type="http://schemas.openxmlformats.org/officeDocument/2006/relationships/hyperlink" Target="mailto:pedro.vasconcelos@tjpb.jus.br" TargetMode="External"/><Relationship Id="rId134" Type="http://schemas.openxmlformats.org/officeDocument/2006/relationships/hyperlink" Target="mailto:alirio.brito@tjpb.jus.br" TargetMode="External"/><Relationship Id="rId255" Type="http://schemas.openxmlformats.org/officeDocument/2006/relationships/hyperlink" Target="mailto:anderley.marques@tjpb.jus.br" TargetMode="External"/><Relationship Id="rId376" Type="http://schemas.openxmlformats.org/officeDocument/2006/relationships/hyperlink" Target="mailto:fabioaraujocg@tjpb.jus.br" TargetMode="External"/><Relationship Id="rId133" Type="http://schemas.openxmlformats.org/officeDocument/2006/relationships/hyperlink" Target="https://justica-em-numeros.cnj.jus.br/painel-metas/" TargetMode="External"/><Relationship Id="rId254" Type="http://schemas.openxmlformats.org/officeDocument/2006/relationships/hyperlink" Target="mailto:max.nunes@tjpb.jus.br" TargetMode="External"/><Relationship Id="rId375" Type="http://schemas.openxmlformats.org/officeDocument/2006/relationships/hyperlink" Target="mailto:pedro.vasconcelos@tjpb.jus.br" TargetMode="External"/><Relationship Id="rId172" Type="http://schemas.openxmlformats.org/officeDocument/2006/relationships/hyperlink" Target="https://justica-em-numeros.cnj.jus.br/painel-juri/" TargetMode="External"/><Relationship Id="rId293" Type="http://schemas.openxmlformats.org/officeDocument/2006/relationships/hyperlink" Target="mailto:pedro.vasconcelos@tjpb.jus.br" TargetMode="External"/><Relationship Id="rId171" Type="http://schemas.openxmlformats.org/officeDocument/2006/relationships/hyperlink" Target="mailto:fabio.leandro@tjpb.jus.br" TargetMode="External"/><Relationship Id="rId292" Type="http://schemas.openxmlformats.org/officeDocument/2006/relationships/hyperlink" Target="mailto:leonardo.sousa@tjpb.jus.br" TargetMode="External"/><Relationship Id="rId170" Type="http://schemas.openxmlformats.org/officeDocument/2006/relationships/hyperlink" Target="mailto:alirio.brito@tjpb.jus.br" TargetMode="External"/><Relationship Id="rId291" Type="http://schemas.openxmlformats.org/officeDocument/2006/relationships/hyperlink" Target="mailto:pedro.vasconcelos@tjpb.jus.br" TargetMode="External"/><Relationship Id="rId290" Type="http://schemas.openxmlformats.org/officeDocument/2006/relationships/hyperlink" Target="mailto:pedro.vasconcelos@tjpb.jus.br" TargetMode="External"/><Relationship Id="rId165" Type="http://schemas.openxmlformats.org/officeDocument/2006/relationships/hyperlink" Target="mailto:fabio.leandro@tjpb.jus.br" TargetMode="External"/><Relationship Id="rId286" Type="http://schemas.openxmlformats.org/officeDocument/2006/relationships/hyperlink" Target="mailto:fabioaraujocg@tjpb.jus.br" TargetMode="External"/><Relationship Id="rId164" Type="http://schemas.openxmlformats.org/officeDocument/2006/relationships/hyperlink" Target="mailto:alirio.brito@tjpb.jus.br" TargetMode="External"/><Relationship Id="rId285" Type="http://schemas.openxmlformats.org/officeDocument/2006/relationships/hyperlink" Target="mailto:pedro.vasconcelos@tjpb.jus.br" TargetMode="External"/><Relationship Id="rId163" Type="http://schemas.openxmlformats.org/officeDocument/2006/relationships/hyperlink" Target="mailto:silmary.alves@tjpb.jus.br" TargetMode="External"/><Relationship Id="rId284" Type="http://schemas.openxmlformats.org/officeDocument/2006/relationships/hyperlink" Target="mailto:leonardo.sousa@tjpb.jus.br" TargetMode="External"/><Relationship Id="rId162" Type="http://schemas.openxmlformats.org/officeDocument/2006/relationships/hyperlink" Target="mailto:alirio.brito@tjpb.jus.br" TargetMode="External"/><Relationship Id="rId283" Type="http://schemas.openxmlformats.org/officeDocument/2006/relationships/hyperlink" Target="mailto:pedro.vasconcelos@tjpb.jus.br" TargetMode="External"/><Relationship Id="rId169" Type="http://schemas.openxmlformats.org/officeDocument/2006/relationships/hyperlink" Target="mailto:fabio.leandro@tjpb.jus.br" TargetMode="External"/><Relationship Id="rId168" Type="http://schemas.openxmlformats.org/officeDocument/2006/relationships/hyperlink" Target="mailto:alirio.brito@tjpb.jus.br" TargetMode="External"/><Relationship Id="rId289" Type="http://schemas.openxmlformats.org/officeDocument/2006/relationships/hyperlink" Target="mailto:pedro.vasconcelos@tjpb.jus.br" TargetMode="External"/><Relationship Id="rId167" Type="http://schemas.openxmlformats.org/officeDocument/2006/relationships/hyperlink" Target="mailto:fabio.leandro@tjpb.jus.br" TargetMode="External"/><Relationship Id="rId288" Type="http://schemas.openxmlformats.org/officeDocument/2006/relationships/hyperlink" Target="mailto:leonardo.sousa@tjpb.jus.br" TargetMode="External"/><Relationship Id="rId166" Type="http://schemas.openxmlformats.org/officeDocument/2006/relationships/hyperlink" Target="mailto:alirio.brito@tjpb.jus.br" TargetMode="External"/><Relationship Id="rId287" Type="http://schemas.openxmlformats.org/officeDocument/2006/relationships/hyperlink" Target="mailto:pedro.vasconcelos@tjpb.jus.br" TargetMode="External"/><Relationship Id="rId161" Type="http://schemas.openxmlformats.org/officeDocument/2006/relationships/hyperlink" Target="mailto:graziela@tjpb.jus.br" TargetMode="External"/><Relationship Id="rId282" Type="http://schemas.openxmlformats.org/officeDocument/2006/relationships/hyperlink" Target="mailto:leonardo.sousa@tjpb.jus.br" TargetMode="External"/><Relationship Id="rId160" Type="http://schemas.openxmlformats.org/officeDocument/2006/relationships/hyperlink" Target="mailto:alirio.brito@tjpb.jus.br" TargetMode="External"/><Relationship Id="rId281" Type="http://schemas.openxmlformats.org/officeDocument/2006/relationships/hyperlink" Target="mailto:pedro.vasconcelos@tjpb.jus.br" TargetMode="External"/><Relationship Id="rId280" Type="http://schemas.openxmlformats.org/officeDocument/2006/relationships/hyperlink" Target="mailto:max.nunes@tjpb.jus.br" TargetMode="External"/><Relationship Id="rId159" Type="http://schemas.openxmlformats.org/officeDocument/2006/relationships/hyperlink" Target="mailto:graziela@tjpb.jus.br" TargetMode="External"/><Relationship Id="rId154" Type="http://schemas.openxmlformats.org/officeDocument/2006/relationships/hyperlink" Target="mailto:alirio.brito@tjpb.jus.br" TargetMode="External"/><Relationship Id="rId275" Type="http://schemas.openxmlformats.org/officeDocument/2006/relationships/hyperlink" Target="mailto:anderley.marques@tjpb.jus.br" TargetMode="External"/><Relationship Id="rId396" Type="http://schemas.openxmlformats.org/officeDocument/2006/relationships/hyperlink" Target="mailto:fabioaraujocg@tjpb.jus.br" TargetMode="External"/><Relationship Id="rId153" Type="http://schemas.openxmlformats.org/officeDocument/2006/relationships/hyperlink" Target="mailto:natan.figueredo@tjpb.jus.br" TargetMode="External"/><Relationship Id="rId274" Type="http://schemas.openxmlformats.org/officeDocument/2006/relationships/hyperlink" Target="mailto:fabioaraujocg@tjpb.jus.br" TargetMode="External"/><Relationship Id="rId395" Type="http://schemas.openxmlformats.org/officeDocument/2006/relationships/hyperlink" Target="mailto:pedro.vasconcelos@tjpb.jus.br" TargetMode="External"/><Relationship Id="rId152" Type="http://schemas.openxmlformats.org/officeDocument/2006/relationships/hyperlink" Target="mailto:alirio.brito@tjpb.jus.br" TargetMode="External"/><Relationship Id="rId273" Type="http://schemas.openxmlformats.org/officeDocument/2006/relationships/hyperlink" Target="mailto:anderley.marques@tjpb.jus.br" TargetMode="External"/><Relationship Id="rId394" Type="http://schemas.openxmlformats.org/officeDocument/2006/relationships/hyperlink" Target="mailto:fabioaraujocg@tjpb.jus.br" TargetMode="External"/><Relationship Id="rId151" Type="http://schemas.openxmlformats.org/officeDocument/2006/relationships/hyperlink" Target="mailto:mariadosremedios@tjpb.jus.br" TargetMode="External"/><Relationship Id="rId272" Type="http://schemas.openxmlformats.org/officeDocument/2006/relationships/hyperlink" Target="mailto:max.nunes@tjpb.jus.br" TargetMode="External"/><Relationship Id="rId393" Type="http://schemas.openxmlformats.org/officeDocument/2006/relationships/hyperlink" Target="mailto:pedro.vasconcelos@tjpb.jus.br" TargetMode="External"/><Relationship Id="rId158" Type="http://schemas.openxmlformats.org/officeDocument/2006/relationships/hyperlink" Target="mailto:alirio.brito@tjpb.jus.br" TargetMode="External"/><Relationship Id="rId279" Type="http://schemas.openxmlformats.org/officeDocument/2006/relationships/hyperlink" Target="mailto:anderley.marques@tjpb.jus.br" TargetMode="External"/><Relationship Id="rId157" Type="http://schemas.openxmlformats.org/officeDocument/2006/relationships/hyperlink" Target="mailto:graziela@tjpb.jus.br" TargetMode="External"/><Relationship Id="rId278" Type="http://schemas.openxmlformats.org/officeDocument/2006/relationships/hyperlink" Target="mailto:max.nunes@tjpb.jus.br" TargetMode="External"/><Relationship Id="rId399" Type="http://schemas.openxmlformats.org/officeDocument/2006/relationships/hyperlink" Target="mailto:pedro.vasconcelos@tjpb.jus.br" TargetMode="External"/><Relationship Id="rId156" Type="http://schemas.openxmlformats.org/officeDocument/2006/relationships/hyperlink" Target="mailto:alirio.brito@tjpb.jus.br" TargetMode="External"/><Relationship Id="rId277" Type="http://schemas.openxmlformats.org/officeDocument/2006/relationships/hyperlink" Target="mailto:anderley.marques@tjpb.jus.br" TargetMode="External"/><Relationship Id="rId398" Type="http://schemas.openxmlformats.org/officeDocument/2006/relationships/hyperlink" Target="mailto:fabioaraujocg@tjpb.jus.br" TargetMode="External"/><Relationship Id="rId155" Type="http://schemas.openxmlformats.org/officeDocument/2006/relationships/hyperlink" Target="mailto:meales@tjpb.jus.br" TargetMode="External"/><Relationship Id="rId276" Type="http://schemas.openxmlformats.org/officeDocument/2006/relationships/hyperlink" Target="mailto:fabio.leandro@tjpb.jus.br" TargetMode="External"/><Relationship Id="rId397" Type="http://schemas.openxmlformats.org/officeDocument/2006/relationships/hyperlink" Target="mailto:pedro.vasconcelos@tjpb.jus.br" TargetMode="External"/><Relationship Id="rId40" Type="http://schemas.openxmlformats.org/officeDocument/2006/relationships/hyperlink" Target="mailto:meales@tjpb.jus.br" TargetMode="External"/><Relationship Id="rId42" Type="http://schemas.openxmlformats.org/officeDocument/2006/relationships/hyperlink" Target="mailto:meales@tjpb.jus.br" TargetMode="External"/><Relationship Id="rId41" Type="http://schemas.openxmlformats.org/officeDocument/2006/relationships/hyperlink" Target="mailto:tulia.neves@tjpb.jus.br" TargetMode="External"/><Relationship Id="rId44" Type="http://schemas.openxmlformats.org/officeDocument/2006/relationships/hyperlink" Target="mailto:meales@tjpb.jus.br" TargetMode="External"/><Relationship Id="rId43" Type="http://schemas.openxmlformats.org/officeDocument/2006/relationships/hyperlink" Target="mailto:tulia.neves@tjpb.jus.br" TargetMode="External"/><Relationship Id="rId46" Type="http://schemas.openxmlformats.org/officeDocument/2006/relationships/hyperlink" Target="mailto:meales@tjpb.jus.br" TargetMode="External"/><Relationship Id="rId45" Type="http://schemas.openxmlformats.org/officeDocument/2006/relationships/hyperlink" Target="mailto:fabioaraujocg@tjpb.jus.br" TargetMode="External"/><Relationship Id="rId48" Type="http://schemas.openxmlformats.org/officeDocument/2006/relationships/hyperlink" Target="mailto:meales@tjpb.jus.br" TargetMode="External"/><Relationship Id="rId47" Type="http://schemas.openxmlformats.org/officeDocument/2006/relationships/hyperlink" Target="mailto:fabioaraujocg@tjpb.jus.br" TargetMode="External"/><Relationship Id="rId49" Type="http://schemas.openxmlformats.org/officeDocument/2006/relationships/hyperlink" Target="mailto:ivnamozart@tjpb.jus.br" TargetMode="External"/><Relationship Id="rId31" Type="http://schemas.openxmlformats.org/officeDocument/2006/relationships/hyperlink" Target="mailto:silmary.alves@tjpb.jus.br" TargetMode="External"/><Relationship Id="rId30" Type="http://schemas.openxmlformats.org/officeDocument/2006/relationships/hyperlink" Target="mailto:meales@tjpb.jus.br" TargetMode="External"/><Relationship Id="rId33" Type="http://schemas.openxmlformats.org/officeDocument/2006/relationships/hyperlink" Target="mailto:silmary.alves@tjpb.jus.br" TargetMode="External"/><Relationship Id="rId32" Type="http://schemas.openxmlformats.org/officeDocument/2006/relationships/hyperlink" Target="mailto:meales@tjpb.jus.br" TargetMode="External"/><Relationship Id="rId35" Type="http://schemas.openxmlformats.org/officeDocument/2006/relationships/hyperlink" Target="mailto:jeremias.melo@tjpb.jus.br" TargetMode="External"/><Relationship Id="rId34" Type="http://schemas.openxmlformats.org/officeDocument/2006/relationships/hyperlink" Target="mailto:meales@tjpb.jus.br" TargetMode="External"/><Relationship Id="rId37" Type="http://schemas.openxmlformats.org/officeDocument/2006/relationships/hyperlink" Target="mailto:tulia.neves@tjpb.jus.br" TargetMode="External"/><Relationship Id="rId36" Type="http://schemas.openxmlformats.org/officeDocument/2006/relationships/hyperlink" Target="mailto:meales@tjpb.jus.br" TargetMode="External"/><Relationship Id="rId39" Type="http://schemas.openxmlformats.org/officeDocument/2006/relationships/hyperlink" Target="mailto:tulia.neves@tjpb.jus.br" TargetMode="External"/><Relationship Id="rId38" Type="http://schemas.openxmlformats.org/officeDocument/2006/relationships/hyperlink" Target="mailto:meales@tjpb.jus.br" TargetMode="External"/><Relationship Id="rId20" Type="http://schemas.openxmlformats.org/officeDocument/2006/relationships/hyperlink" Target="mailto:meales@tjpb.jus.br" TargetMode="External"/><Relationship Id="rId22" Type="http://schemas.openxmlformats.org/officeDocument/2006/relationships/hyperlink" Target="mailto:meales@tjpb.jus.br" TargetMode="External"/><Relationship Id="rId21" Type="http://schemas.openxmlformats.org/officeDocument/2006/relationships/hyperlink" Target="mailto:antonieta.maroja@tjpb.jus.br" TargetMode="External"/><Relationship Id="rId24" Type="http://schemas.openxmlformats.org/officeDocument/2006/relationships/hyperlink" Target="mailto:meales@tjpb.jus.br" TargetMode="External"/><Relationship Id="rId23" Type="http://schemas.openxmlformats.org/officeDocument/2006/relationships/hyperlink" Target="mailto:lua.maia@tjpb.jus.br" TargetMode="External"/><Relationship Id="rId409" Type="http://schemas.openxmlformats.org/officeDocument/2006/relationships/hyperlink" Target="mailto:pedro.vasconcelos@tjpb.jus.br" TargetMode="External"/><Relationship Id="rId404" Type="http://schemas.openxmlformats.org/officeDocument/2006/relationships/hyperlink" Target="mailto:fabioaraujocg@tjpb.jus.br" TargetMode="External"/><Relationship Id="rId403" Type="http://schemas.openxmlformats.org/officeDocument/2006/relationships/hyperlink" Target="mailto:pedro.vasconcelos@tjpb.jus.br" TargetMode="External"/><Relationship Id="rId402" Type="http://schemas.openxmlformats.org/officeDocument/2006/relationships/hyperlink" Target="mailto:fabioaraujocg@tjpb.jus.br" TargetMode="External"/><Relationship Id="rId401" Type="http://schemas.openxmlformats.org/officeDocument/2006/relationships/hyperlink" Target="mailto:pedro.vasconcelos@tjpb.jus.br" TargetMode="External"/><Relationship Id="rId408" Type="http://schemas.openxmlformats.org/officeDocument/2006/relationships/hyperlink" Target="mailto:fabioaraujocg@tjpb.jus.br" TargetMode="External"/><Relationship Id="rId407" Type="http://schemas.openxmlformats.org/officeDocument/2006/relationships/hyperlink" Target="mailto:pedro.vasconcelos@tjpb.jus.br" TargetMode="External"/><Relationship Id="rId406" Type="http://schemas.openxmlformats.org/officeDocument/2006/relationships/hyperlink" Target="mailto:fabioaraujocg@tjpb.jus.br" TargetMode="External"/><Relationship Id="rId405" Type="http://schemas.openxmlformats.org/officeDocument/2006/relationships/hyperlink" Target="mailto:pedro.vasconcelos@tjpb.jus.br" TargetMode="External"/><Relationship Id="rId26" Type="http://schemas.openxmlformats.org/officeDocument/2006/relationships/hyperlink" Target="mailto:meales@tjpb.jus.br" TargetMode="External"/><Relationship Id="rId25" Type="http://schemas.openxmlformats.org/officeDocument/2006/relationships/hyperlink" Target="mailto:silmary.alves@tjpb.jus.br" TargetMode="External"/><Relationship Id="rId28" Type="http://schemas.openxmlformats.org/officeDocument/2006/relationships/hyperlink" Target="mailto:meales@tjpb.jus.br" TargetMode="External"/><Relationship Id="rId27" Type="http://schemas.openxmlformats.org/officeDocument/2006/relationships/hyperlink" Target="mailto:silmary.alves@tjpb.jus.br" TargetMode="External"/><Relationship Id="rId400" Type="http://schemas.openxmlformats.org/officeDocument/2006/relationships/hyperlink" Target="mailto:fabioaraujocg@tjpb.jus.br" TargetMode="External"/><Relationship Id="rId29" Type="http://schemas.openxmlformats.org/officeDocument/2006/relationships/hyperlink" Target="mailto:silmary.alves@tjpb.jus.br" TargetMode="External"/><Relationship Id="rId11" Type="http://schemas.openxmlformats.org/officeDocument/2006/relationships/hyperlink" Target="mailto:fabioaraujocg@tjpb.jus.br" TargetMode="External"/><Relationship Id="rId10" Type="http://schemas.openxmlformats.org/officeDocument/2006/relationships/hyperlink" Target="mailto:meales@tjpb.jus.br" TargetMode="External"/><Relationship Id="rId13" Type="http://schemas.openxmlformats.org/officeDocument/2006/relationships/hyperlink" Target="mailto:fabioaraujocg@tjpb.jus.br" TargetMode="External"/><Relationship Id="rId12" Type="http://schemas.openxmlformats.org/officeDocument/2006/relationships/hyperlink" Target="mailto:meales@tjpb.jus.br" TargetMode="External"/><Relationship Id="rId15" Type="http://schemas.openxmlformats.org/officeDocument/2006/relationships/hyperlink" Target="mailto:leonardo.sousa@tjpb.jus.br" TargetMode="External"/><Relationship Id="rId14" Type="http://schemas.openxmlformats.org/officeDocument/2006/relationships/hyperlink" Target="mailto:meales@tjpb.jus.br" TargetMode="External"/><Relationship Id="rId17" Type="http://schemas.openxmlformats.org/officeDocument/2006/relationships/hyperlink" Target="mailto:antonieta.maroja@tjpb.jus.br" TargetMode="External"/><Relationship Id="rId16" Type="http://schemas.openxmlformats.org/officeDocument/2006/relationships/hyperlink" Target="mailto:meales@tjpb.jus.br" TargetMode="External"/><Relationship Id="rId19" Type="http://schemas.openxmlformats.org/officeDocument/2006/relationships/hyperlink" Target="mailto:antonieta.maroja@tjpb.jus.br" TargetMode="External"/><Relationship Id="rId18" Type="http://schemas.openxmlformats.org/officeDocument/2006/relationships/hyperlink" Target="mailto:meales@tjpb.jus.br" TargetMode="External"/><Relationship Id="rId84" Type="http://schemas.openxmlformats.org/officeDocument/2006/relationships/hyperlink" Target="mailto:meales@tjpb.jus.br" TargetMode="External"/><Relationship Id="rId83" Type="http://schemas.openxmlformats.org/officeDocument/2006/relationships/hyperlink" Target="mailto:natan.figueredo@tjpb.jus.br" TargetMode="External"/><Relationship Id="rId86" Type="http://schemas.openxmlformats.org/officeDocument/2006/relationships/hyperlink" Target="mailto:meales@tjpb.jus.br" TargetMode="External"/><Relationship Id="rId85" Type="http://schemas.openxmlformats.org/officeDocument/2006/relationships/hyperlink" Target="mailto:jeremias.melo@tjpb.jus.br" TargetMode="External"/><Relationship Id="rId88" Type="http://schemas.openxmlformats.org/officeDocument/2006/relationships/hyperlink" Target="mailto:meales@tjpb.jus.br" TargetMode="External"/><Relationship Id="rId87" Type="http://schemas.openxmlformats.org/officeDocument/2006/relationships/hyperlink" Target="mailto:jeremias.melo@tjpb.jus.br" TargetMode="External"/><Relationship Id="rId89" Type="http://schemas.openxmlformats.org/officeDocument/2006/relationships/hyperlink" Target="mailto:lua.maia@tjpb.jus.br" TargetMode="External"/><Relationship Id="rId80" Type="http://schemas.openxmlformats.org/officeDocument/2006/relationships/hyperlink" Target="mailto:meales@tjpb.jus.br" TargetMode="External"/><Relationship Id="rId82" Type="http://schemas.openxmlformats.org/officeDocument/2006/relationships/hyperlink" Target="mailto:meales@tjpb.jus.br" TargetMode="External"/><Relationship Id="rId81" Type="http://schemas.openxmlformats.org/officeDocument/2006/relationships/hyperlink" Target="mailto:antonieta.maroja@tjpb.jus.br" TargetMode="External"/><Relationship Id="rId73" Type="http://schemas.openxmlformats.org/officeDocument/2006/relationships/hyperlink" Target="mailto:fabioaraujocg@tjpb.jus.br" TargetMode="External"/><Relationship Id="rId72" Type="http://schemas.openxmlformats.org/officeDocument/2006/relationships/hyperlink" Target="mailto:meales@tjpb.jus.br" TargetMode="External"/><Relationship Id="rId75" Type="http://schemas.openxmlformats.org/officeDocument/2006/relationships/hyperlink" Target="mailto:max.nunes@tjpb.jus.br" TargetMode="External"/><Relationship Id="rId74" Type="http://schemas.openxmlformats.org/officeDocument/2006/relationships/hyperlink" Target="mailto:meales@tjpb.jus.br" TargetMode="External"/><Relationship Id="rId77" Type="http://schemas.openxmlformats.org/officeDocument/2006/relationships/hyperlink" Target="mailto:antonieta.maroja@tjpb.jus.br" TargetMode="External"/><Relationship Id="rId76" Type="http://schemas.openxmlformats.org/officeDocument/2006/relationships/hyperlink" Target="mailto:meales@tjpb.jus.br" TargetMode="External"/><Relationship Id="rId79" Type="http://schemas.openxmlformats.org/officeDocument/2006/relationships/hyperlink" Target="mailto:anna.lopes@tjpb.jus.br" TargetMode="External"/><Relationship Id="rId78" Type="http://schemas.openxmlformats.org/officeDocument/2006/relationships/hyperlink" Target="mailto:meales@tjpb.jus.br" TargetMode="External"/><Relationship Id="rId71" Type="http://schemas.openxmlformats.org/officeDocument/2006/relationships/hyperlink" Target="mailto:maria.aparecida@tjpb.jus.br" TargetMode="External"/><Relationship Id="rId70" Type="http://schemas.openxmlformats.org/officeDocument/2006/relationships/hyperlink" Target="mailto:meales@tjpb.jus.br" TargetMode="External"/><Relationship Id="rId62" Type="http://schemas.openxmlformats.org/officeDocument/2006/relationships/hyperlink" Target="mailto:meales@tjpb.jus.br" TargetMode="External"/><Relationship Id="rId61" Type="http://schemas.openxmlformats.org/officeDocument/2006/relationships/hyperlink" Target="mailto:antonieta.maroja@tjpb.jus.br" TargetMode="External"/><Relationship Id="rId64" Type="http://schemas.openxmlformats.org/officeDocument/2006/relationships/hyperlink" Target="mailto:meales@tjpb.jus.br" TargetMode="External"/><Relationship Id="rId63" Type="http://schemas.openxmlformats.org/officeDocument/2006/relationships/hyperlink" Target="mailto:maria.aparecida@tjpb.jus.br" TargetMode="External"/><Relationship Id="rId66" Type="http://schemas.openxmlformats.org/officeDocument/2006/relationships/hyperlink" Target="mailto:meales@tjpb.jus.br" TargetMode="External"/><Relationship Id="rId65" Type="http://schemas.openxmlformats.org/officeDocument/2006/relationships/hyperlink" Target="mailto:maria.aparecida@tjpb.jus.br" TargetMode="External"/><Relationship Id="rId68" Type="http://schemas.openxmlformats.org/officeDocument/2006/relationships/hyperlink" Target="mailto:meales@tjpb.jus.br" TargetMode="External"/><Relationship Id="rId67" Type="http://schemas.openxmlformats.org/officeDocument/2006/relationships/hyperlink" Target="mailto:maria.aparecida@tjpb.jus.br" TargetMode="External"/><Relationship Id="rId60" Type="http://schemas.openxmlformats.org/officeDocument/2006/relationships/hyperlink" Target="mailto:meales@tjpb.jus.br" TargetMode="External"/><Relationship Id="rId69" Type="http://schemas.openxmlformats.org/officeDocument/2006/relationships/hyperlink" Target="mailto:maria.aparecida@tjpb.jus.br" TargetMode="External"/><Relationship Id="rId51" Type="http://schemas.openxmlformats.org/officeDocument/2006/relationships/hyperlink" Target="mailto:ivnamozart@tjpb.jus.br" TargetMode="External"/><Relationship Id="rId50" Type="http://schemas.openxmlformats.org/officeDocument/2006/relationships/hyperlink" Target="mailto:meales@tjpb.jus.br" TargetMode="External"/><Relationship Id="rId53" Type="http://schemas.openxmlformats.org/officeDocument/2006/relationships/hyperlink" Target="mailto:ivnamozart@tjpb.jus.br" TargetMode="External"/><Relationship Id="rId52" Type="http://schemas.openxmlformats.org/officeDocument/2006/relationships/hyperlink" Target="mailto:meales@tjpb.jus.br" TargetMode="External"/><Relationship Id="rId55" Type="http://schemas.openxmlformats.org/officeDocument/2006/relationships/hyperlink" Target="mailto:maria.aparecida@tjpb.jus.br" TargetMode="External"/><Relationship Id="rId54" Type="http://schemas.openxmlformats.org/officeDocument/2006/relationships/hyperlink" Target="mailto:meales@tjpb.jus.br" TargetMode="External"/><Relationship Id="rId57" Type="http://schemas.openxmlformats.org/officeDocument/2006/relationships/hyperlink" Target="mailto:maria.aparecida@tjpb.jus.br" TargetMode="External"/><Relationship Id="rId56" Type="http://schemas.openxmlformats.org/officeDocument/2006/relationships/hyperlink" Target="mailto:meales@tjpb.jus.br" TargetMode="External"/><Relationship Id="rId59" Type="http://schemas.openxmlformats.org/officeDocument/2006/relationships/hyperlink" Target="mailto:antonieta.maroja@tjpb.jus.br" TargetMode="External"/><Relationship Id="rId58" Type="http://schemas.openxmlformats.org/officeDocument/2006/relationships/hyperlink" Target="mailto:meales@tjpb.jus.br" TargetMode="External"/><Relationship Id="rId107" Type="http://schemas.openxmlformats.org/officeDocument/2006/relationships/hyperlink" Target="mailto:graziela@tjpb.jus.br" TargetMode="External"/><Relationship Id="rId228" Type="http://schemas.openxmlformats.org/officeDocument/2006/relationships/hyperlink" Target="mailto:paula.frassinetti@tjpb.jus.br" TargetMode="External"/><Relationship Id="rId349" Type="http://schemas.openxmlformats.org/officeDocument/2006/relationships/hyperlink" Target="mailto:pedro.vasconcelos@tjpb.jus.br" TargetMode="External"/><Relationship Id="rId106" Type="http://schemas.openxmlformats.org/officeDocument/2006/relationships/hyperlink" Target="mailto:meales@tjpb.jus.br" TargetMode="External"/><Relationship Id="rId227" Type="http://schemas.openxmlformats.org/officeDocument/2006/relationships/hyperlink" Target="mailto:anderley.marques@tjpb.jus.br" TargetMode="External"/><Relationship Id="rId348" Type="http://schemas.openxmlformats.org/officeDocument/2006/relationships/hyperlink" Target="mailto:leonardo.sousa@tjpb.jus.br" TargetMode="External"/><Relationship Id="rId105" Type="http://schemas.openxmlformats.org/officeDocument/2006/relationships/hyperlink" Target="mailto:graziela@tjpb.jus.br" TargetMode="External"/><Relationship Id="rId226" Type="http://schemas.openxmlformats.org/officeDocument/2006/relationships/hyperlink" Target="mailto:paula.frassinetti@tjpb.jus.br" TargetMode="External"/><Relationship Id="rId347" Type="http://schemas.openxmlformats.org/officeDocument/2006/relationships/hyperlink" Target="mailto:pedro.vasconcelos@tjpb.jus.br" TargetMode="External"/><Relationship Id="rId104" Type="http://schemas.openxmlformats.org/officeDocument/2006/relationships/hyperlink" Target="mailto:meales@tjpb.jus.br" TargetMode="External"/><Relationship Id="rId225" Type="http://schemas.openxmlformats.org/officeDocument/2006/relationships/hyperlink" Target="mailto:anderley.marques@tjpb.jus.br" TargetMode="External"/><Relationship Id="rId346" Type="http://schemas.openxmlformats.org/officeDocument/2006/relationships/hyperlink" Target="mailto:leonardo.sousa@tjpb.jus.br" TargetMode="External"/><Relationship Id="rId109" Type="http://schemas.openxmlformats.org/officeDocument/2006/relationships/hyperlink" Target="mailto:graziela@tjpb.jus.br" TargetMode="External"/><Relationship Id="rId108" Type="http://schemas.openxmlformats.org/officeDocument/2006/relationships/hyperlink" Target="mailto:meales@tjpb.jus.br" TargetMode="External"/><Relationship Id="rId229" Type="http://schemas.openxmlformats.org/officeDocument/2006/relationships/hyperlink" Target="mailto:anderley.marques@tjpb.jus.br" TargetMode="External"/><Relationship Id="rId220" Type="http://schemas.openxmlformats.org/officeDocument/2006/relationships/hyperlink" Target="mailto:paula.frassinetti@tjpb.jus.br" TargetMode="External"/><Relationship Id="rId341" Type="http://schemas.openxmlformats.org/officeDocument/2006/relationships/hyperlink" Target="mailto:pedro.vasconcelos@tjpb.jus.br" TargetMode="External"/><Relationship Id="rId340" Type="http://schemas.openxmlformats.org/officeDocument/2006/relationships/hyperlink" Target="mailto:max.nunes@tjpb.jus.br" TargetMode="External"/><Relationship Id="rId103" Type="http://schemas.openxmlformats.org/officeDocument/2006/relationships/hyperlink" Target="mailto:silmary.alves@tjpb.jus.br" TargetMode="External"/><Relationship Id="rId224" Type="http://schemas.openxmlformats.org/officeDocument/2006/relationships/hyperlink" Target="mailto:paula.frassinetti@tjpb.jus.br" TargetMode="External"/><Relationship Id="rId345" Type="http://schemas.openxmlformats.org/officeDocument/2006/relationships/hyperlink" Target="mailto:pedro.vasconcelos@tjpb.jus.br" TargetMode="External"/><Relationship Id="rId102" Type="http://schemas.openxmlformats.org/officeDocument/2006/relationships/hyperlink" Target="mailto:meales@tjpb.jus.br" TargetMode="External"/><Relationship Id="rId223" Type="http://schemas.openxmlformats.org/officeDocument/2006/relationships/hyperlink" Target="mailto:anderley.marques@tjpb.jus.br" TargetMode="External"/><Relationship Id="rId344" Type="http://schemas.openxmlformats.org/officeDocument/2006/relationships/hyperlink" Target="mailto:max.nunes@tjpb.jus.br" TargetMode="External"/><Relationship Id="rId101" Type="http://schemas.openxmlformats.org/officeDocument/2006/relationships/hyperlink" Target="mailto:fabioaraujocg@tjpb.jus.br" TargetMode="External"/><Relationship Id="rId222" Type="http://schemas.openxmlformats.org/officeDocument/2006/relationships/hyperlink" Target="mailto:paula.frassinetti@tjpb.jus.br" TargetMode="External"/><Relationship Id="rId343" Type="http://schemas.openxmlformats.org/officeDocument/2006/relationships/hyperlink" Target="mailto:pedro.vasconcelos@tjpb.jus.br" TargetMode="External"/><Relationship Id="rId100" Type="http://schemas.openxmlformats.org/officeDocument/2006/relationships/hyperlink" Target="mailto:meales@tjpb.jus.br" TargetMode="External"/><Relationship Id="rId221" Type="http://schemas.openxmlformats.org/officeDocument/2006/relationships/hyperlink" Target="mailto:anderley.marques@tjpb.jus.br" TargetMode="External"/><Relationship Id="rId342" Type="http://schemas.openxmlformats.org/officeDocument/2006/relationships/hyperlink" Target="mailto:max.nunes@tjpb.jus.br" TargetMode="External"/><Relationship Id="rId217" Type="http://schemas.openxmlformats.org/officeDocument/2006/relationships/hyperlink" Target="mailto:anderley.marques@tjpb.jus.br" TargetMode="External"/><Relationship Id="rId338" Type="http://schemas.openxmlformats.org/officeDocument/2006/relationships/hyperlink" Target="mailto:max.nunes@tjpb.jus.br" TargetMode="External"/><Relationship Id="rId216" Type="http://schemas.openxmlformats.org/officeDocument/2006/relationships/hyperlink" Target="mailto:paula.frassinetti@tjpb.jus.br" TargetMode="External"/><Relationship Id="rId337" Type="http://schemas.openxmlformats.org/officeDocument/2006/relationships/hyperlink" Target="mailto:pedro.vasconcelos@tjpb.jus.br" TargetMode="External"/><Relationship Id="rId215" Type="http://schemas.openxmlformats.org/officeDocument/2006/relationships/hyperlink" Target="mailto:anderley.marques@tjpb.jus.br" TargetMode="External"/><Relationship Id="rId336" Type="http://schemas.openxmlformats.org/officeDocument/2006/relationships/hyperlink" Target="mailto:max.nunes@tjpb.jus.br" TargetMode="External"/><Relationship Id="rId214" Type="http://schemas.openxmlformats.org/officeDocument/2006/relationships/hyperlink" Target="mailto:paula.frassinetti@tjpb.jus.br" TargetMode="External"/><Relationship Id="rId335" Type="http://schemas.openxmlformats.org/officeDocument/2006/relationships/hyperlink" Target="mailto:pedro.vasconcelos@tjpb.jus.br" TargetMode="External"/><Relationship Id="rId219" Type="http://schemas.openxmlformats.org/officeDocument/2006/relationships/hyperlink" Target="mailto:anderley.marques@tjpb.jus.br" TargetMode="External"/><Relationship Id="rId218" Type="http://schemas.openxmlformats.org/officeDocument/2006/relationships/hyperlink" Target="mailto:paula.frassinetti@tjpb.jus.br" TargetMode="External"/><Relationship Id="rId339" Type="http://schemas.openxmlformats.org/officeDocument/2006/relationships/hyperlink" Target="mailto:pedro.vasconcelos@tjpb.jus.br" TargetMode="External"/><Relationship Id="rId330" Type="http://schemas.openxmlformats.org/officeDocument/2006/relationships/hyperlink" Target="mailto:maria.aparecida@tjpb.jus.br" TargetMode="External"/><Relationship Id="rId451" Type="http://schemas.openxmlformats.org/officeDocument/2006/relationships/hyperlink" Target="mailto:pedro.vasconcelos@tjpb.jus.br" TargetMode="External"/><Relationship Id="rId450" Type="http://schemas.openxmlformats.org/officeDocument/2006/relationships/hyperlink" Target="mailto:max.nunes@tjpb.jus.br" TargetMode="External"/><Relationship Id="rId213" Type="http://schemas.openxmlformats.org/officeDocument/2006/relationships/hyperlink" Target="mailto:anderley.marques@tjpb.jus.br" TargetMode="External"/><Relationship Id="rId334" Type="http://schemas.openxmlformats.org/officeDocument/2006/relationships/hyperlink" Target="mailto:maria.aparecida@tjpb.jus.br" TargetMode="External"/><Relationship Id="rId212" Type="http://schemas.openxmlformats.org/officeDocument/2006/relationships/hyperlink" Target="mailto:paula.frassinetti@tjpb.jus.br" TargetMode="External"/><Relationship Id="rId333" Type="http://schemas.openxmlformats.org/officeDocument/2006/relationships/hyperlink" Target="mailto:pedro.vasconcelos@tjpb.jus.br" TargetMode="External"/><Relationship Id="rId211" Type="http://schemas.openxmlformats.org/officeDocument/2006/relationships/hyperlink" Target="mailto:anderley.marques@tjpb.jus.br" TargetMode="External"/><Relationship Id="rId332" Type="http://schemas.openxmlformats.org/officeDocument/2006/relationships/hyperlink" Target="mailto:maria.aparecida@tjpb.jus.br" TargetMode="External"/><Relationship Id="rId453" Type="http://schemas.openxmlformats.org/officeDocument/2006/relationships/drawing" Target="../drawings/drawing1.xml"/><Relationship Id="rId210" Type="http://schemas.openxmlformats.org/officeDocument/2006/relationships/hyperlink" Target="mailto:paula.frassinetti@tjpb.jus.br" TargetMode="External"/><Relationship Id="rId331" Type="http://schemas.openxmlformats.org/officeDocument/2006/relationships/hyperlink" Target="mailto:pedro.vasconcelos@tjpb.jus.br" TargetMode="External"/><Relationship Id="rId452" Type="http://schemas.openxmlformats.org/officeDocument/2006/relationships/hyperlink" Target="mailto:maria.aparecida@tjpb.jus.br" TargetMode="External"/><Relationship Id="rId370" Type="http://schemas.openxmlformats.org/officeDocument/2006/relationships/hyperlink" Target="mailto:fabioaraujocg@tjpb.jus.br" TargetMode="External"/><Relationship Id="rId129" Type="http://schemas.openxmlformats.org/officeDocument/2006/relationships/hyperlink" Target="mailto:alirio.brito@tjpb.jus.br" TargetMode="External"/><Relationship Id="rId128" Type="http://schemas.openxmlformats.org/officeDocument/2006/relationships/hyperlink" Target="mailto:kleyber.eulalio@tjpb.jus.br" TargetMode="External"/><Relationship Id="rId249" Type="http://schemas.openxmlformats.org/officeDocument/2006/relationships/hyperlink" Target="mailto:anderley.marques@tjpb.jus.br" TargetMode="External"/><Relationship Id="rId127" Type="http://schemas.openxmlformats.org/officeDocument/2006/relationships/hyperlink" Target="mailto:alirio.brito@tjpb.jus.br" TargetMode="External"/><Relationship Id="rId248" Type="http://schemas.openxmlformats.org/officeDocument/2006/relationships/hyperlink" Target="mailto:paula.frassinetti@tjpb.jus.br" TargetMode="External"/><Relationship Id="rId369" Type="http://schemas.openxmlformats.org/officeDocument/2006/relationships/hyperlink" Target="mailto:pedro.vasconcelos@tjpb.jus.br" TargetMode="External"/><Relationship Id="rId126" Type="http://schemas.openxmlformats.org/officeDocument/2006/relationships/hyperlink" Target="mailto:kleyber.eulalio@tjpb.jus.br" TargetMode="External"/><Relationship Id="rId247" Type="http://schemas.openxmlformats.org/officeDocument/2006/relationships/hyperlink" Target="mailto:anderley.marques@tjpb.jus.br" TargetMode="External"/><Relationship Id="rId368" Type="http://schemas.openxmlformats.org/officeDocument/2006/relationships/hyperlink" Target="mailto:fabioaraujocg@tjpb.jus.br" TargetMode="External"/><Relationship Id="rId121" Type="http://schemas.openxmlformats.org/officeDocument/2006/relationships/hyperlink" Target="mailto:alirio.brito@tjpb.jus.br" TargetMode="External"/><Relationship Id="rId242" Type="http://schemas.openxmlformats.org/officeDocument/2006/relationships/hyperlink" Target="mailto:jeremias.melo@tjpb.jus.br" TargetMode="External"/><Relationship Id="rId363" Type="http://schemas.openxmlformats.org/officeDocument/2006/relationships/hyperlink" Target="mailto:pedro.vasconcelos@tjpb.jus.br" TargetMode="External"/><Relationship Id="rId120" Type="http://schemas.openxmlformats.org/officeDocument/2006/relationships/hyperlink" Target="mailto:meales@tjpb.jus.br" TargetMode="External"/><Relationship Id="rId241" Type="http://schemas.openxmlformats.org/officeDocument/2006/relationships/hyperlink" Target="mailto:jeremias.melo@tjpb.jus.br" TargetMode="External"/><Relationship Id="rId362" Type="http://schemas.openxmlformats.org/officeDocument/2006/relationships/hyperlink" Target="mailto:fabioaraujocg@tjpb.jus.br" TargetMode="External"/><Relationship Id="rId240" Type="http://schemas.openxmlformats.org/officeDocument/2006/relationships/hyperlink" Target="mailto:jeremias.melo@tjpb.jus.br" TargetMode="External"/><Relationship Id="rId361" Type="http://schemas.openxmlformats.org/officeDocument/2006/relationships/hyperlink" Target="mailto:pedro.vasconcelos@tjpb.jus.br" TargetMode="External"/><Relationship Id="rId360" Type="http://schemas.openxmlformats.org/officeDocument/2006/relationships/hyperlink" Target="mailto:fabioaraujocg@tjpb.jus.br" TargetMode="External"/><Relationship Id="rId125" Type="http://schemas.openxmlformats.org/officeDocument/2006/relationships/hyperlink" Target="mailto:alirio.brito@tjpb.jus.br" TargetMode="External"/><Relationship Id="rId246" Type="http://schemas.openxmlformats.org/officeDocument/2006/relationships/hyperlink" Target="mailto:paula.frassinetti@tjpb.jus.br" TargetMode="External"/><Relationship Id="rId367" Type="http://schemas.openxmlformats.org/officeDocument/2006/relationships/hyperlink" Target="mailto:pedro.vasconcelos@tjpb.jus.br" TargetMode="External"/><Relationship Id="rId124" Type="http://schemas.openxmlformats.org/officeDocument/2006/relationships/hyperlink" Target="mailto:kleyber.eulalio@tjpb.jus.br" TargetMode="External"/><Relationship Id="rId245" Type="http://schemas.openxmlformats.org/officeDocument/2006/relationships/hyperlink" Target="mailto:anderley.marques@tjpb.jus.br" TargetMode="External"/><Relationship Id="rId366" Type="http://schemas.openxmlformats.org/officeDocument/2006/relationships/hyperlink" Target="mailto:fabioaraujocg@tjpb.jus.br" TargetMode="External"/><Relationship Id="rId123" Type="http://schemas.openxmlformats.org/officeDocument/2006/relationships/hyperlink" Target="mailto:alirio.brito@tjpb.jus.br" TargetMode="External"/><Relationship Id="rId244" Type="http://schemas.openxmlformats.org/officeDocument/2006/relationships/hyperlink" Target="mailto:jeremias.melo@tjpb.jus.br" TargetMode="External"/><Relationship Id="rId365" Type="http://schemas.openxmlformats.org/officeDocument/2006/relationships/hyperlink" Target="mailto:pedro.vasconcelos@tjpb.jus.br" TargetMode="External"/><Relationship Id="rId122" Type="http://schemas.openxmlformats.org/officeDocument/2006/relationships/hyperlink" Target="mailto:meales@tjpb.jus.br" TargetMode="External"/><Relationship Id="rId243" Type="http://schemas.openxmlformats.org/officeDocument/2006/relationships/hyperlink" Target="mailto:jeremias.melo@tjpb.jus.br" TargetMode="External"/><Relationship Id="rId364" Type="http://schemas.openxmlformats.org/officeDocument/2006/relationships/hyperlink" Target="mailto:fabioaraujocg@tjpb.jus.br" TargetMode="External"/><Relationship Id="rId95" Type="http://schemas.openxmlformats.org/officeDocument/2006/relationships/hyperlink" Target="mailto:antonieta.maroja@tjpb.jus.br" TargetMode="External"/><Relationship Id="rId94" Type="http://schemas.openxmlformats.org/officeDocument/2006/relationships/hyperlink" Target="mailto:meales@tjpb.jus.br" TargetMode="External"/><Relationship Id="rId97" Type="http://schemas.openxmlformats.org/officeDocument/2006/relationships/hyperlink" Target="mailto:antonieta.maroja@tjpb.jus.br" TargetMode="External"/><Relationship Id="rId96" Type="http://schemas.openxmlformats.org/officeDocument/2006/relationships/hyperlink" Target="mailto:meales@tjpb.jus.br" TargetMode="External"/><Relationship Id="rId99" Type="http://schemas.openxmlformats.org/officeDocument/2006/relationships/hyperlink" Target="mailto:leonardo.sousa@tjpb.jus.br" TargetMode="External"/><Relationship Id="rId98" Type="http://schemas.openxmlformats.org/officeDocument/2006/relationships/hyperlink" Target="mailto:meales@tjpb.jus.br" TargetMode="External"/><Relationship Id="rId91" Type="http://schemas.openxmlformats.org/officeDocument/2006/relationships/hyperlink" Target="mailto:lua.maia@tjpb.jus.br" TargetMode="External"/><Relationship Id="rId90" Type="http://schemas.openxmlformats.org/officeDocument/2006/relationships/hyperlink" Target="mailto:meales@tjpb.jus.br" TargetMode="External"/><Relationship Id="rId93" Type="http://schemas.openxmlformats.org/officeDocument/2006/relationships/hyperlink" Target="mailto:antonieta.maroja@tjpb.jus.br" TargetMode="External"/><Relationship Id="rId92" Type="http://schemas.openxmlformats.org/officeDocument/2006/relationships/hyperlink" Target="mailto:meales@tjpb.jus.br" TargetMode="External"/><Relationship Id="rId118" Type="http://schemas.openxmlformats.org/officeDocument/2006/relationships/hyperlink" Target="mailto:meales@tjpb.jus.br" TargetMode="External"/><Relationship Id="rId239" Type="http://schemas.openxmlformats.org/officeDocument/2006/relationships/hyperlink" Target="mailto:jeremias.melo@tjpb.jus.br" TargetMode="External"/><Relationship Id="rId117" Type="http://schemas.openxmlformats.org/officeDocument/2006/relationships/hyperlink" Target="mailto:alirio.brito@tjpb.jus.br" TargetMode="External"/><Relationship Id="rId238" Type="http://schemas.openxmlformats.org/officeDocument/2006/relationships/hyperlink" Target="mailto:paula.frassinetti@tjpb.jus.br" TargetMode="External"/><Relationship Id="rId359" Type="http://schemas.openxmlformats.org/officeDocument/2006/relationships/hyperlink" Target="mailto:pedro.vasconcelos@tjpb.jus.br" TargetMode="External"/><Relationship Id="rId116" Type="http://schemas.openxmlformats.org/officeDocument/2006/relationships/hyperlink" Target="https://justica-em-numeros.cnj.jus.br/" TargetMode="External"/><Relationship Id="rId237" Type="http://schemas.openxmlformats.org/officeDocument/2006/relationships/hyperlink" Target="mailto:anderley.marques@tjpb.jus.br" TargetMode="External"/><Relationship Id="rId358" Type="http://schemas.openxmlformats.org/officeDocument/2006/relationships/hyperlink" Target="mailto:leonardo.sousa@tjpb.jus.br" TargetMode="External"/><Relationship Id="rId115" Type="http://schemas.openxmlformats.org/officeDocument/2006/relationships/hyperlink" Target="mailto:jailson@tjpb.jus.br" TargetMode="External"/><Relationship Id="rId236" Type="http://schemas.openxmlformats.org/officeDocument/2006/relationships/hyperlink" Target="mailto:paula.frassinetti@tjpb.jus.br" TargetMode="External"/><Relationship Id="rId357" Type="http://schemas.openxmlformats.org/officeDocument/2006/relationships/hyperlink" Target="mailto:pedro.vasconcelos@tjpb.jus.br" TargetMode="External"/><Relationship Id="rId119" Type="http://schemas.openxmlformats.org/officeDocument/2006/relationships/hyperlink" Target="mailto:alirio.brito@tjpb.jus.br" TargetMode="External"/><Relationship Id="rId110" Type="http://schemas.openxmlformats.org/officeDocument/2006/relationships/hyperlink" Target="mailto:meales@tjpb.jus.br" TargetMode="External"/><Relationship Id="rId231" Type="http://schemas.openxmlformats.org/officeDocument/2006/relationships/hyperlink" Target="mailto:anderley.marques@tjpb.jus.br" TargetMode="External"/><Relationship Id="rId352" Type="http://schemas.openxmlformats.org/officeDocument/2006/relationships/hyperlink" Target="mailto:leonardo.sousa@tjpb.jus.br" TargetMode="External"/><Relationship Id="rId230" Type="http://schemas.openxmlformats.org/officeDocument/2006/relationships/hyperlink" Target="mailto:paula.frassinetti@tjpb.jus.br" TargetMode="External"/><Relationship Id="rId351" Type="http://schemas.openxmlformats.org/officeDocument/2006/relationships/hyperlink" Target="mailto:pedro.vasconcelos@tjpb.jus.br" TargetMode="External"/><Relationship Id="rId350" Type="http://schemas.openxmlformats.org/officeDocument/2006/relationships/hyperlink" Target="mailto:leonardo.sousa@tjpb.jus.br" TargetMode="External"/><Relationship Id="rId114" Type="http://schemas.openxmlformats.org/officeDocument/2006/relationships/hyperlink" Target="mailto:meales@tjpb.jus.br" TargetMode="External"/><Relationship Id="rId235" Type="http://schemas.openxmlformats.org/officeDocument/2006/relationships/hyperlink" Target="mailto:anderley.marques@tjpb.jus.br" TargetMode="External"/><Relationship Id="rId356" Type="http://schemas.openxmlformats.org/officeDocument/2006/relationships/hyperlink" Target="mailto:leonardo.sousa@tjpb.jus.br" TargetMode="External"/><Relationship Id="rId113" Type="http://schemas.openxmlformats.org/officeDocument/2006/relationships/hyperlink" Target="mailto:leonardo.sousa@tjpb.jus.br" TargetMode="External"/><Relationship Id="rId234" Type="http://schemas.openxmlformats.org/officeDocument/2006/relationships/hyperlink" Target="mailto:paula.frassinetti@tjpb.jus.br" TargetMode="External"/><Relationship Id="rId355" Type="http://schemas.openxmlformats.org/officeDocument/2006/relationships/hyperlink" Target="mailto:pedro.vasconcelos@tjpb.jus.br" TargetMode="External"/><Relationship Id="rId112" Type="http://schemas.openxmlformats.org/officeDocument/2006/relationships/hyperlink" Target="mailto:meales@tjpb.jus.br" TargetMode="External"/><Relationship Id="rId233" Type="http://schemas.openxmlformats.org/officeDocument/2006/relationships/hyperlink" Target="mailto:anderley.marques@tjpb.jus.br" TargetMode="External"/><Relationship Id="rId354" Type="http://schemas.openxmlformats.org/officeDocument/2006/relationships/hyperlink" Target="mailto:leonardo.sousa@tjpb.jus.br" TargetMode="External"/><Relationship Id="rId111" Type="http://schemas.openxmlformats.org/officeDocument/2006/relationships/hyperlink" Target="mailto:mariadosremedios@tjpb.jus.br" TargetMode="External"/><Relationship Id="rId232" Type="http://schemas.openxmlformats.org/officeDocument/2006/relationships/hyperlink" Target="mailto:paula.frassinetti@tjpb.jus.br" TargetMode="External"/><Relationship Id="rId353" Type="http://schemas.openxmlformats.org/officeDocument/2006/relationships/hyperlink" Target="mailto:pedro.vasconcelos@tjpb.jus.br" TargetMode="External"/><Relationship Id="rId305" Type="http://schemas.openxmlformats.org/officeDocument/2006/relationships/hyperlink" Target="mailto:pedro.vasconcelos@tjpb.jus.br" TargetMode="External"/><Relationship Id="rId426" Type="http://schemas.openxmlformats.org/officeDocument/2006/relationships/hyperlink" Target="mailto:leonardo.sousa@tjpb.jus.br" TargetMode="External"/><Relationship Id="rId304" Type="http://schemas.openxmlformats.org/officeDocument/2006/relationships/hyperlink" Target="mailto:fabioaraujocg@tjpb.jus.br" TargetMode="External"/><Relationship Id="rId425" Type="http://schemas.openxmlformats.org/officeDocument/2006/relationships/hyperlink" Target="mailto:pedro.vasconcelos@tjpb.jus.br" TargetMode="External"/><Relationship Id="rId303" Type="http://schemas.openxmlformats.org/officeDocument/2006/relationships/hyperlink" Target="mailto:pedro.vasconcelos@tjpb.jus.br" TargetMode="External"/><Relationship Id="rId424" Type="http://schemas.openxmlformats.org/officeDocument/2006/relationships/hyperlink" Target="mailto:fabioaraujocg@tjpb.jus.br" TargetMode="External"/><Relationship Id="rId302" Type="http://schemas.openxmlformats.org/officeDocument/2006/relationships/hyperlink" Target="mailto:fabioaraujocg@tjpb.jus.br" TargetMode="External"/><Relationship Id="rId423" Type="http://schemas.openxmlformats.org/officeDocument/2006/relationships/hyperlink" Target="mailto:pedro.vasconcelos@tjpb.jus.br" TargetMode="External"/><Relationship Id="rId309" Type="http://schemas.openxmlformats.org/officeDocument/2006/relationships/hyperlink" Target="mailto:pedro.vasconcelos@tjpb.jus.br" TargetMode="External"/><Relationship Id="rId308" Type="http://schemas.openxmlformats.org/officeDocument/2006/relationships/hyperlink" Target="mailto:maria.aparecida@tjpb.jus.br" TargetMode="External"/><Relationship Id="rId429" Type="http://schemas.openxmlformats.org/officeDocument/2006/relationships/hyperlink" Target="mailto:pedro.vasconcelos@tjpb.jus.br" TargetMode="External"/><Relationship Id="rId307" Type="http://schemas.openxmlformats.org/officeDocument/2006/relationships/hyperlink" Target="mailto:pedro.vasconcelos@tjpb.jus.br" TargetMode="External"/><Relationship Id="rId428" Type="http://schemas.openxmlformats.org/officeDocument/2006/relationships/hyperlink" Target="mailto:leonardo.sousa@tjpb.jus.br" TargetMode="External"/><Relationship Id="rId306" Type="http://schemas.openxmlformats.org/officeDocument/2006/relationships/hyperlink" Target="mailto:maria.aparecida@tjpb.jus.br" TargetMode="External"/><Relationship Id="rId427" Type="http://schemas.openxmlformats.org/officeDocument/2006/relationships/hyperlink" Target="mailto:pedro.vasconcelos@tjpb.jus.br" TargetMode="External"/><Relationship Id="rId301" Type="http://schemas.openxmlformats.org/officeDocument/2006/relationships/hyperlink" Target="mailto:pedro.vasconcelos@tjpb.jus.br" TargetMode="External"/><Relationship Id="rId422" Type="http://schemas.openxmlformats.org/officeDocument/2006/relationships/hyperlink" Target="mailto:fabioaraujocg@tjpb.jus.br" TargetMode="External"/><Relationship Id="rId300" Type="http://schemas.openxmlformats.org/officeDocument/2006/relationships/hyperlink" Target="mailto:fabioaraujocg@tjpb.jus.br" TargetMode="External"/><Relationship Id="rId421" Type="http://schemas.openxmlformats.org/officeDocument/2006/relationships/hyperlink" Target="mailto:pedro.vasconcelos@tjpb.jus.br" TargetMode="External"/><Relationship Id="rId420" Type="http://schemas.openxmlformats.org/officeDocument/2006/relationships/hyperlink" Target="mailto:fabioaraujocg@tjpb.jus.br" TargetMode="External"/><Relationship Id="rId415" Type="http://schemas.openxmlformats.org/officeDocument/2006/relationships/hyperlink" Target="mailto:pedro.vasconcelos@tjpb.jus.br" TargetMode="External"/><Relationship Id="rId414" Type="http://schemas.openxmlformats.org/officeDocument/2006/relationships/hyperlink" Target="mailto:fabioaraujocg@tjpb.jus.br" TargetMode="External"/><Relationship Id="rId413" Type="http://schemas.openxmlformats.org/officeDocument/2006/relationships/hyperlink" Target="mailto:pedro.vasconcelos@tjpb.jus.br" TargetMode="External"/><Relationship Id="rId412" Type="http://schemas.openxmlformats.org/officeDocument/2006/relationships/hyperlink" Target="mailto:fabioaraujocg@tjpb.jus.br" TargetMode="External"/><Relationship Id="rId419" Type="http://schemas.openxmlformats.org/officeDocument/2006/relationships/hyperlink" Target="mailto:pedro.vasconcelos@tjpb.jus.br" TargetMode="External"/><Relationship Id="rId418" Type="http://schemas.openxmlformats.org/officeDocument/2006/relationships/hyperlink" Target="mailto:fabioaraujocg@tjpb.jus.br" TargetMode="External"/><Relationship Id="rId417" Type="http://schemas.openxmlformats.org/officeDocument/2006/relationships/hyperlink" Target="mailto:pedro.vasconcelos@tjpb.jus.br" TargetMode="External"/><Relationship Id="rId416" Type="http://schemas.openxmlformats.org/officeDocument/2006/relationships/hyperlink" Target="mailto:fabioaraujocg@tjpb.jus.br" TargetMode="External"/><Relationship Id="rId411" Type="http://schemas.openxmlformats.org/officeDocument/2006/relationships/hyperlink" Target="mailto:pedro.vasconcelos@tjpb.jus.br" TargetMode="External"/><Relationship Id="rId410" Type="http://schemas.openxmlformats.org/officeDocument/2006/relationships/hyperlink" Target="mailto:fabioaraujocg@tjpb.jus.br" TargetMode="External"/><Relationship Id="rId206" Type="http://schemas.openxmlformats.org/officeDocument/2006/relationships/hyperlink" Target="mailto:paula.frassinetti@tjpb.jus.br" TargetMode="External"/><Relationship Id="rId327" Type="http://schemas.openxmlformats.org/officeDocument/2006/relationships/hyperlink" Target="mailto:pedro.vasconcelos@tjpb.jus.br" TargetMode="External"/><Relationship Id="rId448" Type="http://schemas.openxmlformats.org/officeDocument/2006/relationships/hyperlink" Target="mailto:anna.lopes@tjpb.jus.br" TargetMode="External"/><Relationship Id="rId205" Type="http://schemas.openxmlformats.org/officeDocument/2006/relationships/hyperlink" Target="mailto:anderley.marques@tjpb.jus.br" TargetMode="External"/><Relationship Id="rId326" Type="http://schemas.openxmlformats.org/officeDocument/2006/relationships/hyperlink" Target="mailto:maria.aparecida@tjpb.jus.br" TargetMode="External"/><Relationship Id="rId447" Type="http://schemas.openxmlformats.org/officeDocument/2006/relationships/hyperlink" Target="mailto:pedro.vasconcelos@tjpb.jus.br" TargetMode="External"/><Relationship Id="rId204" Type="http://schemas.openxmlformats.org/officeDocument/2006/relationships/hyperlink" Target="mailto:paula.frassinetti@tjpb.jus.br" TargetMode="External"/><Relationship Id="rId325" Type="http://schemas.openxmlformats.org/officeDocument/2006/relationships/hyperlink" Target="mailto:pedro.vasconcelos@tjpb.jus.br" TargetMode="External"/><Relationship Id="rId446" Type="http://schemas.openxmlformats.org/officeDocument/2006/relationships/hyperlink" Target="mailto:anna.lopes@tjpb.jus.br" TargetMode="External"/><Relationship Id="rId203" Type="http://schemas.openxmlformats.org/officeDocument/2006/relationships/hyperlink" Target="mailto:anderley.marques@tjpb.jus.br" TargetMode="External"/><Relationship Id="rId324" Type="http://schemas.openxmlformats.org/officeDocument/2006/relationships/hyperlink" Target="mailto:maria.aparecida@tjpb.jus.br" TargetMode="External"/><Relationship Id="rId445" Type="http://schemas.openxmlformats.org/officeDocument/2006/relationships/hyperlink" Target="mailto:pedro.vasconcelos@tjpb.jus.br" TargetMode="External"/><Relationship Id="rId209" Type="http://schemas.openxmlformats.org/officeDocument/2006/relationships/hyperlink" Target="mailto:anderley.marques@tjpb.jus.br" TargetMode="External"/><Relationship Id="rId208" Type="http://schemas.openxmlformats.org/officeDocument/2006/relationships/hyperlink" Target="mailto:paula.frassinetti@tjpb.jus.br" TargetMode="External"/><Relationship Id="rId329" Type="http://schemas.openxmlformats.org/officeDocument/2006/relationships/hyperlink" Target="mailto:pedro.vasconcelos@tjpb.jus.br" TargetMode="External"/><Relationship Id="rId207" Type="http://schemas.openxmlformats.org/officeDocument/2006/relationships/hyperlink" Target="mailto:anderley.marques@tjpb.jus.br" TargetMode="External"/><Relationship Id="rId328" Type="http://schemas.openxmlformats.org/officeDocument/2006/relationships/hyperlink" Target="mailto:max.nunes@tjpb.jus.br" TargetMode="External"/><Relationship Id="rId449" Type="http://schemas.openxmlformats.org/officeDocument/2006/relationships/hyperlink" Target="mailto:pedro.vasconcelos@tjpb.jus.br" TargetMode="External"/><Relationship Id="rId440" Type="http://schemas.openxmlformats.org/officeDocument/2006/relationships/hyperlink" Target="mailto:lua.maia@tjpb.jus.br" TargetMode="External"/><Relationship Id="rId202" Type="http://schemas.openxmlformats.org/officeDocument/2006/relationships/hyperlink" Target="mailto:paula.frassinetti@tjpb.jus.br" TargetMode="External"/><Relationship Id="rId323" Type="http://schemas.openxmlformats.org/officeDocument/2006/relationships/hyperlink" Target="mailto:pedro.vasconcelos@tjpb.jus.br" TargetMode="External"/><Relationship Id="rId444" Type="http://schemas.openxmlformats.org/officeDocument/2006/relationships/hyperlink" Target="mailto:lua.maia@tjpb.jus.br" TargetMode="External"/><Relationship Id="rId201" Type="http://schemas.openxmlformats.org/officeDocument/2006/relationships/hyperlink" Target="mailto:anderley.marques@tjpb.jus.br" TargetMode="External"/><Relationship Id="rId322" Type="http://schemas.openxmlformats.org/officeDocument/2006/relationships/hyperlink" Target="mailto:maria.aparecida@tjpb.jus.br" TargetMode="External"/><Relationship Id="rId443" Type="http://schemas.openxmlformats.org/officeDocument/2006/relationships/hyperlink" Target="mailto:pedro.vasconcelos@tjpb.jus.br" TargetMode="External"/><Relationship Id="rId200" Type="http://schemas.openxmlformats.org/officeDocument/2006/relationships/hyperlink" Target="mailto:paula.frassinetti@tjpb.jus.br" TargetMode="External"/><Relationship Id="rId321" Type="http://schemas.openxmlformats.org/officeDocument/2006/relationships/hyperlink" Target="mailto:pedro.vasconcelos@tjpb.jus.br" TargetMode="External"/><Relationship Id="rId442" Type="http://schemas.openxmlformats.org/officeDocument/2006/relationships/hyperlink" Target="mailto:lua.maia@tjpb.jus.br" TargetMode="External"/><Relationship Id="rId320" Type="http://schemas.openxmlformats.org/officeDocument/2006/relationships/hyperlink" Target="mailto:maria.aparecida@tjpb.jus.br" TargetMode="External"/><Relationship Id="rId441" Type="http://schemas.openxmlformats.org/officeDocument/2006/relationships/hyperlink" Target="mailto:pedro.vasconcelos@tjpb.jus.br" TargetMode="External"/><Relationship Id="rId316" Type="http://schemas.openxmlformats.org/officeDocument/2006/relationships/hyperlink" Target="mailto:maria.aparecida@tjpb.jus.br" TargetMode="External"/><Relationship Id="rId437" Type="http://schemas.openxmlformats.org/officeDocument/2006/relationships/hyperlink" Target="mailto:pedro.vasconcelos@tjpb.jus.br" TargetMode="External"/><Relationship Id="rId315" Type="http://schemas.openxmlformats.org/officeDocument/2006/relationships/hyperlink" Target="mailto:pedro.vasconcelos@tjpb.jus.br" TargetMode="External"/><Relationship Id="rId436" Type="http://schemas.openxmlformats.org/officeDocument/2006/relationships/hyperlink" Target="mailto:leonardo.sousa@tjpb.jus.br" TargetMode="External"/><Relationship Id="rId314" Type="http://schemas.openxmlformats.org/officeDocument/2006/relationships/hyperlink" Target="mailto:maria.aparecida@tjpb.jus.br" TargetMode="External"/><Relationship Id="rId435" Type="http://schemas.openxmlformats.org/officeDocument/2006/relationships/hyperlink" Target="mailto:pedro.vasconcelos@tjpb.jus.br" TargetMode="External"/><Relationship Id="rId313" Type="http://schemas.openxmlformats.org/officeDocument/2006/relationships/hyperlink" Target="mailto:pedro.vasconcelos@tjpb.jus.br" TargetMode="External"/><Relationship Id="rId434" Type="http://schemas.openxmlformats.org/officeDocument/2006/relationships/hyperlink" Target="mailto:leonardo.sousa@tjpb.jus.br" TargetMode="External"/><Relationship Id="rId319" Type="http://schemas.openxmlformats.org/officeDocument/2006/relationships/hyperlink" Target="mailto:pedro.vasconcelos@tjpb.jus.br" TargetMode="External"/><Relationship Id="rId318" Type="http://schemas.openxmlformats.org/officeDocument/2006/relationships/hyperlink" Target="mailto:maria.aparecida@tjpb.jus.br" TargetMode="External"/><Relationship Id="rId439" Type="http://schemas.openxmlformats.org/officeDocument/2006/relationships/hyperlink" Target="mailto:pedro.vasconcelos@tjpb.jus.br" TargetMode="External"/><Relationship Id="rId317" Type="http://schemas.openxmlformats.org/officeDocument/2006/relationships/hyperlink" Target="mailto:pedro.vasconcelos@tjpb.jus.br" TargetMode="External"/><Relationship Id="rId438" Type="http://schemas.openxmlformats.org/officeDocument/2006/relationships/hyperlink" Target="mailto:lua.maia@tjpb.jus.br" TargetMode="External"/><Relationship Id="rId312" Type="http://schemas.openxmlformats.org/officeDocument/2006/relationships/hyperlink" Target="mailto:maria.aparecida@tjpb.jus.br" TargetMode="External"/><Relationship Id="rId433" Type="http://schemas.openxmlformats.org/officeDocument/2006/relationships/hyperlink" Target="mailto:pedro.vasconcelos@tjpb.jus.br" TargetMode="External"/><Relationship Id="rId311" Type="http://schemas.openxmlformats.org/officeDocument/2006/relationships/hyperlink" Target="mailto:pedro.vasconcelos@tjpb.jus.br" TargetMode="External"/><Relationship Id="rId432" Type="http://schemas.openxmlformats.org/officeDocument/2006/relationships/hyperlink" Target="mailto:leonardo.sousa@tjpb.jus.br" TargetMode="External"/><Relationship Id="rId310" Type="http://schemas.openxmlformats.org/officeDocument/2006/relationships/hyperlink" Target="mailto:fabioaraujocg@tjpb.jus.br" TargetMode="External"/><Relationship Id="rId431" Type="http://schemas.openxmlformats.org/officeDocument/2006/relationships/hyperlink" Target="mailto:pedro.vasconcelos@tjpb.jus.br" TargetMode="External"/><Relationship Id="rId430" Type="http://schemas.openxmlformats.org/officeDocument/2006/relationships/hyperlink" Target="mailto:leonardo.sousa@tjpb.jus.br"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pedro.vasconcelos@tjpb.jus.br" TargetMode="External"/><Relationship Id="rId2" Type="http://schemas.openxmlformats.org/officeDocument/2006/relationships/hyperlink" Target="mailto:jeremias.melo@tjpb.jus.br" TargetMode="External"/><Relationship Id="rId3" Type="http://schemas.openxmlformats.org/officeDocument/2006/relationships/hyperlink" Target="mailto:meales@tjpb.jus.br" TargetMode="External"/><Relationship Id="rId4" Type="http://schemas.openxmlformats.org/officeDocument/2006/relationships/hyperlink" Target="mailto:anderley.marques@tjpb.jus.br" TargetMode="External"/><Relationship Id="rId9" Type="http://schemas.openxmlformats.org/officeDocument/2006/relationships/hyperlink" Target="mailto:silmary.alves@tjpb.jus.br" TargetMode="External"/><Relationship Id="rId5" Type="http://schemas.openxmlformats.org/officeDocument/2006/relationships/hyperlink" Target="mailto:alirio.brito@tjpb.jus.br" TargetMode="External"/><Relationship Id="rId6" Type="http://schemas.openxmlformats.org/officeDocument/2006/relationships/hyperlink" Target="mailto:max.nunes@tjpb.jus.br" TargetMode="External"/><Relationship Id="rId7" Type="http://schemas.openxmlformats.org/officeDocument/2006/relationships/hyperlink" Target="mailto:maria.aparecida@tjpb.jus.br" TargetMode="External"/><Relationship Id="rId8" Type="http://schemas.openxmlformats.org/officeDocument/2006/relationships/hyperlink" Target="mailto:andrea.arcoverde@tjpb.jus.br" TargetMode="External"/><Relationship Id="rId31" Type="http://schemas.openxmlformats.org/officeDocument/2006/relationships/hyperlink" Target="mailto:paula.frassinetti@tjpb.jus.br" TargetMode="External"/><Relationship Id="rId30" Type="http://schemas.openxmlformats.org/officeDocument/2006/relationships/hyperlink" Target="mailto:marcial.henrique@tjpb.jus.br" TargetMode="External"/><Relationship Id="rId32" Type="http://schemas.openxmlformats.org/officeDocument/2006/relationships/drawing" Target="../drawings/drawing3.xml"/><Relationship Id="rId20" Type="http://schemas.openxmlformats.org/officeDocument/2006/relationships/hyperlink" Target="mailto:natan.figueredo@tjpb.jus.br" TargetMode="External"/><Relationship Id="rId22" Type="http://schemas.openxmlformats.org/officeDocument/2006/relationships/hyperlink" Target="mailto:fabio.leandro@tjpb.jus.br" TargetMode="External"/><Relationship Id="rId21" Type="http://schemas.openxmlformats.org/officeDocument/2006/relationships/hyperlink" Target="mailto:antonieta.maroja@tjpb.jus.br" TargetMode="External"/><Relationship Id="rId24" Type="http://schemas.openxmlformats.org/officeDocument/2006/relationships/hyperlink" Target="mailto:gustavo.pessoa@tjpb.jus.br" TargetMode="External"/><Relationship Id="rId23" Type="http://schemas.openxmlformats.org/officeDocument/2006/relationships/hyperlink" Target="mailto:renata.camara@tjpb.jus.br" TargetMode="External"/><Relationship Id="rId26" Type="http://schemas.openxmlformats.org/officeDocument/2006/relationships/hyperlink" Target="mailto:joaobenedito@tjpb.jus.br" TargetMode="External"/><Relationship Id="rId25" Type="http://schemas.openxmlformats.org/officeDocument/2006/relationships/hyperlink" Target="mailto:frederico.coutinho@tjpb.jus.br" TargetMode="External"/><Relationship Id="rId28" Type="http://schemas.openxmlformats.org/officeDocument/2006/relationships/hyperlink" Target="mailto:deborah.figueiredo@tjpb.jus.br" TargetMode="External"/><Relationship Id="rId27" Type="http://schemas.openxmlformats.org/officeDocument/2006/relationships/hyperlink" Target="mailto:kleyber.eulalio@tjpb.jus.br" TargetMode="External"/><Relationship Id="rId29" Type="http://schemas.openxmlformats.org/officeDocument/2006/relationships/hyperlink" Target="mailto:renan.dovalle@tjpb.jus.br" TargetMode="External"/><Relationship Id="rId11" Type="http://schemas.openxmlformats.org/officeDocument/2006/relationships/hyperlink" Target="mailto:jailson@tjpb.jus.br" TargetMode="External"/><Relationship Id="rId10" Type="http://schemas.openxmlformats.org/officeDocument/2006/relationships/hyperlink" Target="mailto:leonardo.sousa@tjpb.jus.br" TargetMode="External"/><Relationship Id="rId13" Type="http://schemas.openxmlformats.org/officeDocument/2006/relationships/hyperlink" Target="mailto:mariadosremedios@tjpb.jus.br" TargetMode="External"/><Relationship Id="rId12" Type="http://schemas.openxmlformats.org/officeDocument/2006/relationships/hyperlink" Target="mailto:graziela@tjpb.jus.br" TargetMode="External"/><Relationship Id="rId15" Type="http://schemas.openxmlformats.org/officeDocument/2006/relationships/hyperlink" Target="mailto:lua.maia@tjpb.jus.br" TargetMode="External"/><Relationship Id="rId14" Type="http://schemas.openxmlformats.org/officeDocument/2006/relationships/hyperlink" Target="mailto:fabioaraujocg@tjpb.jus.br" TargetMode="External"/><Relationship Id="rId17" Type="http://schemas.openxmlformats.org/officeDocument/2006/relationships/hyperlink" Target="mailto:tulia.neves@tjpb.jus.br" TargetMode="External"/><Relationship Id="rId16" Type="http://schemas.openxmlformats.org/officeDocument/2006/relationships/hyperlink" Target="mailto:anna.lopes@tjpb.jus.br" TargetMode="External"/><Relationship Id="rId19" Type="http://schemas.openxmlformats.org/officeDocument/2006/relationships/hyperlink" Target="mailto:mariadosremedios@tjpb.jus.br" TargetMode="External"/><Relationship Id="rId18" Type="http://schemas.openxmlformats.org/officeDocument/2006/relationships/hyperlink" Target="mailto:ivnamozart@tjpb.jus.br"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7.63"/>
    <col customWidth="1" min="2" max="2" width="23.75"/>
    <col customWidth="1" min="3" max="3" width="9.63"/>
    <col customWidth="1" min="4" max="4" width="30.25"/>
    <col customWidth="1" min="5" max="5" width="38.5"/>
    <col customWidth="1" min="9" max="10" width="23.13"/>
    <col customWidth="1" min="11" max="11" width="14.38"/>
    <col customWidth="1" min="13" max="13" width="14.25"/>
    <col customWidth="1" min="14" max="14" width="17.25"/>
    <col customWidth="1" min="15" max="15" width="12.0"/>
    <col customWidth="1" min="16" max="16" width="29.75"/>
    <col customWidth="1" min="19" max="19" width="18.75"/>
    <col customWidth="1" min="20" max="20" width="54.25"/>
  </cols>
  <sheetData>
    <row r="1">
      <c r="A1" s="1" t="s">
        <v>0</v>
      </c>
      <c r="B1" s="2" t="s">
        <v>1</v>
      </c>
      <c r="C1" s="3" t="s">
        <v>2</v>
      </c>
      <c r="D1" s="4" t="s">
        <v>3</v>
      </c>
      <c r="E1" s="4" t="s">
        <v>4</v>
      </c>
      <c r="F1" s="3" t="s">
        <v>5</v>
      </c>
      <c r="G1" s="4" t="s">
        <v>6</v>
      </c>
      <c r="H1" s="4" t="s">
        <v>7</v>
      </c>
      <c r="I1" s="3" t="s">
        <v>8</v>
      </c>
      <c r="J1" s="3" t="s">
        <v>9</v>
      </c>
      <c r="K1" s="5" t="s">
        <v>10</v>
      </c>
      <c r="L1" s="6" t="s">
        <v>11</v>
      </c>
      <c r="M1" s="6" t="s">
        <v>12</v>
      </c>
      <c r="N1" s="6" t="s">
        <v>13</v>
      </c>
      <c r="O1" s="6" t="s">
        <v>14</v>
      </c>
      <c r="P1" s="6" t="s">
        <v>15</v>
      </c>
      <c r="Q1" s="4" t="s">
        <v>16</v>
      </c>
      <c r="R1" s="4" t="s">
        <v>17</v>
      </c>
      <c r="S1" s="4" t="s">
        <v>18</v>
      </c>
      <c r="T1" s="7" t="s">
        <v>19</v>
      </c>
      <c r="U1" s="7" t="s">
        <v>20</v>
      </c>
      <c r="V1" s="8" t="s">
        <v>21</v>
      </c>
      <c r="W1" s="9"/>
      <c r="X1" s="9"/>
    </row>
    <row r="2">
      <c r="A2" s="10" t="s">
        <v>22</v>
      </c>
      <c r="B2" s="10" t="s">
        <v>23</v>
      </c>
      <c r="C2" s="11" t="s">
        <v>24</v>
      </c>
      <c r="D2" s="12" t="s">
        <v>25</v>
      </c>
      <c r="E2" s="12" t="s">
        <v>26</v>
      </c>
      <c r="F2" s="11">
        <v>20.0</v>
      </c>
      <c r="G2" s="13">
        <f t="shared" ref="G2:G225" si="1">V2</f>
        <v>0</v>
      </c>
      <c r="H2" s="14">
        <f t="shared" ref="H2:H39" si="2">IFERROR(G2/F2,0)</f>
        <v>0</v>
      </c>
      <c r="I2" s="15" t="s">
        <v>27</v>
      </c>
      <c r="J2" s="16" t="s">
        <v>28</v>
      </c>
      <c r="K2" s="5" t="s">
        <v>29</v>
      </c>
      <c r="L2" s="17"/>
      <c r="M2" s="18" t="s">
        <v>30</v>
      </c>
      <c r="N2" s="5" t="s">
        <v>31</v>
      </c>
      <c r="O2" s="19">
        <v>46203.0</v>
      </c>
      <c r="P2" s="20"/>
      <c r="Q2" s="18">
        <v>20.0</v>
      </c>
      <c r="R2" s="18">
        <v>10.0</v>
      </c>
      <c r="S2" s="18" t="s">
        <v>32</v>
      </c>
      <c r="T2" s="21" t="str">
        <f t="shared" ref="T2:T225" si="3">IF(D2=B2,CONCATENATE(A2," - ",B2),CONCATENATE(A2," - ",B2," - ",D2))</f>
        <v>1. GOVERNANÇA - Resolução CNJ nº 219/2016 (priorização do 1º Grau) - Funções Comissionadas entre 1º e 2º graus</v>
      </c>
      <c r="U2" s="22">
        <f t="shared" ref="U2:U225" si="4">F2</f>
        <v>20</v>
      </c>
      <c r="V2" s="23">
        <f>IFERROR(VLOOKUP(T2,'Parcial - Prestação de contas'!A:D,4, ),0)</f>
        <v>0</v>
      </c>
      <c r="W2" s="24"/>
      <c r="X2" s="24"/>
    </row>
    <row r="3">
      <c r="A3" s="10" t="s">
        <v>22</v>
      </c>
      <c r="B3" s="10" t="s">
        <v>23</v>
      </c>
      <c r="C3" s="11" t="s">
        <v>33</v>
      </c>
      <c r="D3" s="12" t="s">
        <v>34</v>
      </c>
      <c r="E3" s="12" t="s">
        <v>35</v>
      </c>
      <c r="F3" s="11">
        <v>20.0</v>
      </c>
      <c r="G3" s="13">
        <f t="shared" si="1"/>
        <v>0</v>
      </c>
      <c r="H3" s="14">
        <f t="shared" si="2"/>
        <v>0</v>
      </c>
      <c r="I3" s="15" t="s">
        <v>27</v>
      </c>
      <c r="J3" s="25" t="s">
        <v>28</v>
      </c>
      <c r="K3" s="5" t="s">
        <v>29</v>
      </c>
      <c r="L3" s="17"/>
      <c r="M3" s="18" t="s">
        <v>30</v>
      </c>
      <c r="N3" s="5" t="s">
        <v>31</v>
      </c>
      <c r="O3" s="19">
        <v>46203.0</v>
      </c>
      <c r="P3" s="20"/>
      <c r="Q3" s="26">
        <v>20.0</v>
      </c>
      <c r="R3" s="26">
        <v>10.0</v>
      </c>
      <c r="S3" s="26" t="s">
        <v>32</v>
      </c>
      <c r="T3" s="21" t="str">
        <f t="shared" si="3"/>
        <v>1. GOVERNANÇA - Resolução CNJ nº 219/2016 (priorização do 1º Grau) - Cargos em Comissão entre 1º e 2º graus</v>
      </c>
      <c r="U3" s="22">
        <f t="shared" si="4"/>
        <v>20</v>
      </c>
      <c r="V3" s="23">
        <f>IFERROR(VLOOKUP(T3,'Parcial - Prestação de contas'!A:D,4, ),0)</f>
        <v>0</v>
      </c>
    </row>
    <row r="4">
      <c r="A4" s="10" t="s">
        <v>22</v>
      </c>
      <c r="B4" s="10" t="s">
        <v>23</v>
      </c>
      <c r="C4" s="11" t="s">
        <v>36</v>
      </c>
      <c r="D4" s="12" t="s">
        <v>37</v>
      </c>
      <c r="E4" s="12" t="s">
        <v>38</v>
      </c>
      <c r="F4" s="11">
        <v>20.0</v>
      </c>
      <c r="G4" s="13">
        <f t="shared" si="1"/>
        <v>0</v>
      </c>
      <c r="H4" s="14">
        <f t="shared" si="2"/>
        <v>0</v>
      </c>
      <c r="I4" s="15" t="s">
        <v>27</v>
      </c>
      <c r="J4" s="25" t="s">
        <v>28</v>
      </c>
      <c r="K4" s="5" t="s">
        <v>29</v>
      </c>
      <c r="L4" s="17"/>
      <c r="M4" s="18" t="s">
        <v>30</v>
      </c>
      <c r="N4" s="5" t="s">
        <v>31</v>
      </c>
      <c r="O4" s="19">
        <v>46203.0</v>
      </c>
      <c r="P4" s="20"/>
      <c r="Q4" s="26">
        <v>0.0</v>
      </c>
      <c r="R4" s="26">
        <v>0.0</v>
      </c>
      <c r="S4" s="26" t="s">
        <v>32</v>
      </c>
      <c r="T4" s="21" t="str">
        <f t="shared" si="3"/>
        <v>1. GOVERNANÇA - Resolução CNJ nº 219/2016 (priorização do 1º Grau) - Quantidade de servidores entre 1º e 2º graus</v>
      </c>
      <c r="U4" s="22">
        <f t="shared" si="4"/>
        <v>20</v>
      </c>
      <c r="V4" s="23">
        <f>IFERROR(VLOOKUP(T4,'Parcial - Prestação de contas'!A:D,4, ),0)</f>
        <v>0</v>
      </c>
    </row>
    <row r="5">
      <c r="A5" s="10" t="s">
        <v>22</v>
      </c>
      <c r="B5" s="10" t="s">
        <v>23</v>
      </c>
      <c r="C5" s="11" t="s">
        <v>39</v>
      </c>
      <c r="D5" s="12" t="s">
        <v>40</v>
      </c>
      <c r="E5" s="12" t="s">
        <v>41</v>
      </c>
      <c r="F5" s="11">
        <v>5.0</v>
      </c>
      <c r="G5" s="13">
        <f t="shared" si="1"/>
        <v>0</v>
      </c>
      <c r="H5" s="14">
        <f t="shared" si="2"/>
        <v>0</v>
      </c>
      <c r="I5" s="15" t="s">
        <v>27</v>
      </c>
      <c r="J5" s="25" t="s">
        <v>28</v>
      </c>
      <c r="K5" s="5" t="s">
        <v>29</v>
      </c>
      <c r="L5" s="17"/>
      <c r="M5" s="18" t="s">
        <v>30</v>
      </c>
      <c r="N5" s="5" t="s">
        <v>31</v>
      </c>
      <c r="O5" s="19">
        <v>46203.0</v>
      </c>
      <c r="P5" s="20"/>
      <c r="Q5" s="26">
        <v>5.0</v>
      </c>
      <c r="R5" s="26">
        <v>5.0</v>
      </c>
      <c r="S5" s="26" t="s">
        <v>32</v>
      </c>
      <c r="T5" s="21" t="str">
        <f t="shared" si="3"/>
        <v>1. GOVERNANÇA - Resolução CNJ nº 219/2016 (priorização do 1º Grau) - Cargos em comissão da área administrativa</v>
      </c>
      <c r="U5" s="22">
        <f t="shared" si="4"/>
        <v>5</v>
      </c>
      <c r="V5" s="23">
        <f>IFERROR(VLOOKUP(T5,'Parcial - Prestação de contas'!A:D,4, ),0)</f>
        <v>0</v>
      </c>
    </row>
    <row r="6">
      <c r="A6" s="10" t="s">
        <v>22</v>
      </c>
      <c r="B6" s="10" t="s">
        <v>23</v>
      </c>
      <c r="C6" s="11" t="s">
        <v>42</v>
      </c>
      <c r="D6" s="12" t="s">
        <v>43</v>
      </c>
      <c r="E6" s="12" t="s">
        <v>44</v>
      </c>
      <c r="F6" s="11">
        <v>5.0</v>
      </c>
      <c r="G6" s="13">
        <f t="shared" si="1"/>
        <v>0</v>
      </c>
      <c r="H6" s="14">
        <f t="shared" si="2"/>
        <v>0</v>
      </c>
      <c r="I6" s="15" t="s">
        <v>27</v>
      </c>
      <c r="J6" s="25" t="s">
        <v>28</v>
      </c>
      <c r="K6" s="5" t="s">
        <v>29</v>
      </c>
      <c r="L6" s="17"/>
      <c r="M6" s="18" t="s">
        <v>30</v>
      </c>
      <c r="N6" s="5" t="s">
        <v>31</v>
      </c>
      <c r="O6" s="19">
        <v>46203.0</v>
      </c>
      <c r="P6" s="20"/>
      <c r="Q6" s="26">
        <v>5.0</v>
      </c>
      <c r="R6" s="26">
        <v>5.0</v>
      </c>
      <c r="S6" s="26" t="s">
        <v>32</v>
      </c>
      <c r="T6" s="21" t="str">
        <f t="shared" si="3"/>
        <v>1. GOVERNANÇA - Resolução CNJ nº 219/2016 (priorização do 1º Grau) - Funções comissionadas da área administrativa</v>
      </c>
      <c r="U6" s="22">
        <f t="shared" si="4"/>
        <v>5</v>
      </c>
      <c r="V6" s="23">
        <f>IFERROR(VLOOKUP(T6,'Parcial - Prestação de contas'!A:D,4, ),0)</f>
        <v>0</v>
      </c>
    </row>
    <row r="7">
      <c r="A7" s="10" t="s">
        <v>22</v>
      </c>
      <c r="B7" s="10" t="s">
        <v>23</v>
      </c>
      <c r="C7" s="11" t="s">
        <v>45</v>
      </c>
      <c r="D7" s="12" t="s">
        <v>46</v>
      </c>
      <c r="E7" s="12" t="s">
        <v>47</v>
      </c>
      <c r="F7" s="11">
        <v>5.0</v>
      </c>
      <c r="G7" s="13">
        <f t="shared" si="1"/>
        <v>0</v>
      </c>
      <c r="H7" s="14">
        <f t="shared" si="2"/>
        <v>0</v>
      </c>
      <c r="I7" s="15" t="s">
        <v>27</v>
      </c>
      <c r="J7" s="25" t="s">
        <v>28</v>
      </c>
      <c r="K7" s="5" t="s">
        <v>29</v>
      </c>
      <c r="L7" s="17"/>
      <c r="M7" s="18" t="s">
        <v>30</v>
      </c>
      <c r="N7" s="5" t="s">
        <v>31</v>
      </c>
      <c r="O7" s="19">
        <v>46203.0</v>
      </c>
      <c r="P7" s="20"/>
      <c r="Q7" s="26">
        <v>5.0</v>
      </c>
      <c r="R7" s="26">
        <v>5.0</v>
      </c>
      <c r="S7" s="26" t="s">
        <v>32</v>
      </c>
      <c r="T7" s="21" t="str">
        <f t="shared" si="3"/>
        <v>1. GOVERNANÇA - Resolução CNJ nº 219/2016 (priorização do 1º Grau) - Quantidade de servidores da área administrativa</v>
      </c>
      <c r="U7" s="22">
        <f t="shared" si="4"/>
        <v>5</v>
      </c>
      <c r="V7" s="23">
        <f>IFERROR(VLOOKUP(T7,'Parcial - Prestação de contas'!A:D,4, ),0)</f>
        <v>0</v>
      </c>
    </row>
    <row r="8">
      <c r="A8" s="10" t="s">
        <v>22</v>
      </c>
      <c r="B8" s="10" t="s">
        <v>23</v>
      </c>
      <c r="C8" s="11" t="s">
        <v>48</v>
      </c>
      <c r="D8" s="12" t="s">
        <v>49</v>
      </c>
      <c r="E8" s="12" t="s">
        <v>50</v>
      </c>
      <c r="F8" s="11">
        <v>10.0</v>
      </c>
      <c r="G8" s="13">
        <f t="shared" si="1"/>
        <v>0</v>
      </c>
      <c r="H8" s="14">
        <f t="shared" si="2"/>
        <v>0</v>
      </c>
      <c r="I8" s="15" t="s">
        <v>27</v>
      </c>
      <c r="J8" s="25" t="s">
        <v>51</v>
      </c>
      <c r="K8" s="5" t="s">
        <v>52</v>
      </c>
      <c r="L8" s="17"/>
      <c r="M8" s="17"/>
      <c r="N8" s="5" t="s">
        <v>53</v>
      </c>
      <c r="O8" s="27">
        <v>46022.0</v>
      </c>
      <c r="P8" s="20"/>
      <c r="Q8" s="26">
        <v>10.0</v>
      </c>
      <c r="R8" s="26">
        <v>10.0</v>
      </c>
      <c r="S8" s="28"/>
      <c r="T8" s="21" t="str">
        <f t="shared" si="3"/>
        <v>1. GOVERNANÇA - Resolução CNJ nº 219/2016 (priorização do 1º Grau) - Orçamento entre 1º e 2º graus</v>
      </c>
      <c r="U8" s="22">
        <f t="shared" si="4"/>
        <v>10</v>
      </c>
      <c r="V8" s="23">
        <f>IFERROR(VLOOKUP(T8,'Parcial - Prestação de contas'!A:D,4, ),0)</f>
        <v>0</v>
      </c>
    </row>
    <row r="9">
      <c r="A9" s="10" t="s">
        <v>22</v>
      </c>
      <c r="B9" s="10" t="s">
        <v>54</v>
      </c>
      <c r="C9" s="11" t="s">
        <v>55</v>
      </c>
      <c r="D9" s="12" t="s">
        <v>56</v>
      </c>
      <c r="E9" s="12" t="s">
        <v>57</v>
      </c>
      <c r="F9" s="11">
        <v>15.0</v>
      </c>
      <c r="G9" s="13">
        <f t="shared" si="1"/>
        <v>0</v>
      </c>
      <c r="H9" s="14">
        <f t="shared" si="2"/>
        <v>0</v>
      </c>
      <c r="I9" s="15" t="s">
        <v>27</v>
      </c>
      <c r="J9" s="25" t="s">
        <v>58</v>
      </c>
      <c r="K9" s="5" t="s">
        <v>59</v>
      </c>
      <c r="L9" s="17"/>
      <c r="M9" s="18" t="s">
        <v>60</v>
      </c>
      <c r="N9" s="5" t="s">
        <v>61</v>
      </c>
      <c r="O9" s="19">
        <v>46234.0</v>
      </c>
      <c r="P9" s="20"/>
      <c r="Q9" s="26">
        <v>15.0</v>
      </c>
      <c r="R9" s="26">
        <v>15.0</v>
      </c>
      <c r="S9" s="28"/>
      <c r="T9" s="21" t="str">
        <f t="shared" si="3"/>
        <v>1. GOVERNANÇA - Gestão participativa na elaboração das Metas Nacionais - Realizar audiência pública</v>
      </c>
      <c r="U9" s="22">
        <f t="shared" si="4"/>
        <v>15</v>
      </c>
      <c r="V9" s="23">
        <f>IFERROR(VLOOKUP(T9,'Parcial - Prestação de contas'!A:D,4, ),0)</f>
        <v>0</v>
      </c>
    </row>
    <row r="10">
      <c r="A10" s="10" t="s">
        <v>22</v>
      </c>
      <c r="B10" s="10" t="s">
        <v>54</v>
      </c>
      <c r="C10" s="11" t="s">
        <v>62</v>
      </c>
      <c r="D10" s="12" t="s">
        <v>57</v>
      </c>
      <c r="E10" s="12" t="s">
        <v>56</v>
      </c>
      <c r="F10" s="11">
        <v>15.0</v>
      </c>
      <c r="G10" s="13">
        <f t="shared" si="1"/>
        <v>0</v>
      </c>
      <c r="H10" s="14">
        <f t="shared" si="2"/>
        <v>0</v>
      </c>
      <c r="I10" s="15" t="s">
        <v>27</v>
      </c>
      <c r="J10" s="25" t="s">
        <v>58</v>
      </c>
      <c r="K10" s="5" t="s">
        <v>59</v>
      </c>
      <c r="L10" s="17"/>
      <c r="M10" s="18" t="s">
        <v>60</v>
      </c>
      <c r="N10" s="5" t="s">
        <v>61</v>
      </c>
      <c r="O10" s="19">
        <v>46234.0</v>
      </c>
      <c r="P10" s="20"/>
      <c r="Q10" s="26">
        <v>15.0</v>
      </c>
      <c r="R10" s="26">
        <v>0.0</v>
      </c>
      <c r="S10" s="28"/>
      <c r="T10" s="21" t="str">
        <f t="shared" si="3"/>
        <v>1. GOVERNANÇA - Gestão participativa na elaboração das Metas Nacionais - Realizar consulta pública</v>
      </c>
      <c r="U10" s="22">
        <f t="shared" si="4"/>
        <v>15</v>
      </c>
      <c r="V10" s="23">
        <f>IFERROR(VLOOKUP(T10,'Parcial - Prestação de contas'!A:D,4, ),0)</f>
        <v>0</v>
      </c>
    </row>
    <row r="11">
      <c r="A11" s="10" t="s">
        <v>22</v>
      </c>
      <c r="B11" s="10" t="s">
        <v>54</v>
      </c>
      <c r="C11" s="11" t="s">
        <v>63</v>
      </c>
      <c r="D11" s="12" t="s">
        <v>64</v>
      </c>
      <c r="E11" s="12" t="s">
        <v>64</v>
      </c>
      <c r="F11" s="11">
        <v>30.0</v>
      </c>
      <c r="G11" s="13">
        <f t="shared" si="1"/>
        <v>0</v>
      </c>
      <c r="H11" s="14">
        <f t="shared" si="2"/>
        <v>0</v>
      </c>
      <c r="I11" s="15" t="s">
        <v>27</v>
      </c>
      <c r="J11" s="25" t="s">
        <v>58</v>
      </c>
      <c r="K11" s="5" t="s">
        <v>59</v>
      </c>
      <c r="L11" s="17"/>
      <c r="M11" s="18" t="s">
        <v>60</v>
      </c>
      <c r="N11" s="5" t="s">
        <v>61</v>
      </c>
      <c r="O11" s="19">
        <v>46234.0</v>
      </c>
      <c r="P11" s="20"/>
      <c r="Q11" s="26">
        <v>30.0</v>
      </c>
      <c r="R11" s="26">
        <v>30.0</v>
      </c>
      <c r="S11" s="28"/>
      <c r="T11" s="21" t="str">
        <f t="shared" si="3"/>
        <v>1. GOVERNANÇA - Gestão participativa na elaboração das Metas Nacionais - Realizar uma ou mais reuniões com Magistrados e servidores</v>
      </c>
      <c r="U11" s="22">
        <f t="shared" si="4"/>
        <v>30</v>
      </c>
      <c r="V11" s="23">
        <f>IFERROR(VLOOKUP(T11,'Parcial - Prestação de contas'!A:D,4, ),0)</f>
        <v>0</v>
      </c>
    </row>
    <row r="12">
      <c r="A12" s="10" t="s">
        <v>22</v>
      </c>
      <c r="B12" s="10" t="s">
        <v>65</v>
      </c>
      <c r="C12" s="11" t="s">
        <v>66</v>
      </c>
      <c r="D12" s="12" t="s">
        <v>67</v>
      </c>
      <c r="E12" s="12" t="s">
        <v>67</v>
      </c>
      <c r="F12" s="11">
        <v>50.0</v>
      </c>
      <c r="G12" s="13">
        <f t="shared" si="1"/>
        <v>0</v>
      </c>
      <c r="H12" s="14">
        <f t="shared" si="2"/>
        <v>0</v>
      </c>
      <c r="I12" s="15" t="s">
        <v>27</v>
      </c>
      <c r="J12" s="25" t="s">
        <v>68</v>
      </c>
      <c r="K12" s="5" t="s">
        <v>69</v>
      </c>
      <c r="L12" s="17"/>
      <c r="M12" s="18" t="s">
        <v>60</v>
      </c>
      <c r="N12" s="5" t="s">
        <v>70</v>
      </c>
      <c r="O12" s="27">
        <v>46022.0</v>
      </c>
      <c r="P12" s="20"/>
      <c r="Q12" s="26">
        <v>20.0</v>
      </c>
      <c r="R12" s="26">
        <v>15.0</v>
      </c>
      <c r="S12" s="28"/>
      <c r="T12" s="21" t="str">
        <f t="shared" si="3"/>
        <v>1. GOVERNANÇA - Gestão Socioambiental e IDS - Resultado do IDS</v>
      </c>
      <c r="U12" s="22">
        <f t="shared" si="4"/>
        <v>50</v>
      </c>
      <c r="V12" s="23">
        <f>IFERROR(VLOOKUP(T12,'Parcial - Prestação de contas'!A:D,4, ),0)</f>
        <v>0</v>
      </c>
    </row>
    <row r="13">
      <c r="A13" s="10" t="s">
        <v>22</v>
      </c>
      <c r="B13" s="10" t="s">
        <v>71</v>
      </c>
      <c r="C13" s="11" t="s">
        <v>72</v>
      </c>
      <c r="D13" s="12" t="s">
        <v>73</v>
      </c>
      <c r="E13" s="12" t="s">
        <v>74</v>
      </c>
      <c r="F13" s="11">
        <v>10.0</v>
      </c>
      <c r="G13" s="13">
        <f t="shared" si="1"/>
        <v>0</v>
      </c>
      <c r="H13" s="14">
        <f t="shared" si="2"/>
        <v>0</v>
      </c>
      <c r="I13" s="15" t="s">
        <v>27</v>
      </c>
      <c r="J13" s="25" t="s">
        <v>75</v>
      </c>
      <c r="K13" s="5" t="s">
        <v>76</v>
      </c>
      <c r="L13" s="17"/>
      <c r="M13" s="18" t="s">
        <v>60</v>
      </c>
      <c r="N13" s="5" t="s">
        <v>77</v>
      </c>
      <c r="O13" s="19">
        <v>46234.0</v>
      </c>
      <c r="P13" s="20"/>
      <c r="Q13" s="26">
        <v>10.0</v>
      </c>
      <c r="R13" s="26">
        <v>10.0</v>
      </c>
      <c r="S13" s="28"/>
      <c r="T13" s="21" t="str">
        <f t="shared" si="3"/>
        <v>1. GOVERNANÇA - Judicialização da Saúde - Possuir NatJus</v>
      </c>
      <c r="U13" s="22">
        <f t="shared" si="4"/>
        <v>10</v>
      </c>
      <c r="V13" s="23">
        <f>IFERROR(VLOOKUP(T13,'Parcial - Prestação de contas'!A:D,4, ),0)</f>
        <v>0</v>
      </c>
    </row>
    <row r="14">
      <c r="A14" s="10" t="s">
        <v>22</v>
      </c>
      <c r="B14" s="10" t="s">
        <v>71</v>
      </c>
      <c r="C14" s="11" t="s">
        <v>78</v>
      </c>
      <c r="D14" s="12" t="s">
        <v>79</v>
      </c>
      <c r="E14" s="12" t="s">
        <v>80</v>
      </c>
      <c r="F14" s="11">
        <v>10.0</v>
      </c>
      <c r="G14" s="13">
        <f t="shared" si="1"/>
        <v>0</v>
      </c>
      <c r="H14" s="14">
        <f t="shared" si="2"/>
        <v>0</v>
      </c>
      <c r="I14" s="15" t="s">
        <v>27</v>
      </c>
      <c r="J14" s="16" t="s">
        <v>75</v>
      </c>
      <c r="K14" s="5" t="s">
        <v>76</v>
      </c>
      <c r="L14" s="17"/>
      <c r="M14" s="18" t="s">
        <v>60</v>
      </c>
      <c r="N14" s="5" t="s">
        <v>81</v>
      </c>
      <c r="O14" s="19">
        <v>46234.0</v>
      </c>
      <c r="P14" s="20"/>
      <c r="Q14" s="26">
        <v>10.0</v>
      </c>
      <c r="R14" s="26"/>
      <c r="S14" s="28"/>
      <c r="T14" s="21" t="str">
        <f t="shared" si="3"/>
        <v>1. GOVERNANÇA - Judicialização da Saúde - Executar Plano de Estadual</v>
      </c>
      <c r="U14" s="22">
        <f t="shared" si="4"/>
        <v>10</v>
      </c>
      <c r="V14" s="23">
        <f>IFERROR(VLOOKUP(T14,'Parcial - Prestação de contas'!A:D,4, ),0)</f>
        <v>0</v>
      </c>
    </row>
    <row r="15">
      <c r="A15" s="10" t="s">
        <v>22</v>
      </c>
      <c r="B15" s="10" t="s">
        <v>71</v>
      </c>
      <c r="C15" s="11" t="s">
        <v>82</v>
      </c>
      <c r="D15" s="12" t="s">
        <v>83</v>
      </c>
      <c r="E15" s="12" t="s">
        <v>84</v>
      </c>
      <c r="F15" s="11">
        <v>10.0</v>
      </c>
      <c r="G15" s="13">
        <f t="shared" si="1"/>
        <v>0</v>
      </c>
      <c r="H15" s="14">
        <f t="shared" si="2"/>
        <v>0</v>
      </c>
      <c r="I15" s="15" t="s">
        <v>27</v>
      </c>
      <c r="J15" s="16" t="s">
        <v>75</v>
      </c>
      <c r="K15" s="5" t="s">
        <v>76</v>
      </c>
      <c r="L15" s="17"/>
      <c r="M15" s="18" t="s">
        <v>60</v>
      </c>
      <c r="N15" s="5" t="s">
        <v>77</v>
      </c>
      <c r="O15" s="19">
        <v>46234.0</v>
      </c>
      <c r="P15" s="20"/>
      <c r="Q15" s="26">
        <v>10.0</v>
      </c>
      <c r="R15" s="26">
        <v>10.0</v>
      </c>
      <c r="S15" s="28"/>
      <c r="T15" s="21" t="str">
        <f t="shared" si="3"/>
        <v>1. GOVERNANÇA - Judicialização da Saúde - Acordo de Cooperação Técnica</v>
      </c>
      <c r="U15" s="22">
        <f t="shared" si="4"/>
        <v>10</v>
      </c>
      <c r="V15" s="23">
        <f>IFERROR(VLOOKUP(T15,'Parcial - Prestação de contas'!A:D,4, ),0)</f>
        <v>0</v>
      </c>
    </row>
    <row r="16">
      <c r="A16" s="10" t="s">
        <v>22</v>
      </c>
      <c r="B16" s="10" t="s">
        <v>71</v>
      </c>
      <c r="C16" s="11" t="s">
        <v>85</v>
      </c>
      <c r="D16" s="12" t="s">
        <v>86</v>
      </c>
      <c r="E16" s="12" t="s">
        <v>87</v>
      </c>
      <c r="F16" s="11">
        <v>10.0</v>
      </c>
      <c r="G16" s="13">
        <f t="shared" si="1"/>
        <v>0</v>
      </c>
      <c r="H16" s="14">
        <f t="shared" si="2"/>
        <v>0</v>
      </c>
      <c r="I16" s="15" t="s">
        <v>27</v>
      </c>
      <c r="J16" s="16" t="s">
        <v>75</v>
      </c>
      <c r="K16" s="5" t="s">
        <v>88</v>
      </c>
      <c r="L16" s="17"/>
      <c r="M16" s="18" t="s">
        <v>60</v>
      </c>
      <c r="N16" s="5" t="s">
        <v>81</v>
      </c>
      <c r="O16" s="19">
        <v>46234.0</v>
      </c>
      <c r="P16" s="20"/>
      <c r="Q16" s="26">
        <v>10.0</v>
      </c>
      <c r="R16" s="26"/>
      <c r="S16" s="28"/>
      <c r="T16" s="21" t="str">
        <f t="shared" si="3"/>
        <v>1. GOVERNANÇA - Judicialização da Saúde - Capacitação</v>
      </c>
      <c r="U16" s="22">
        <f t="shared" si="4"/>
        <v>10</v>
      </c>
      <c r="V16" s="23">
        <f>IFERROR(VLOOKUP(T16,'Parcial - Prestação de contas'!A:D,4, ),0)</f>
        <v>0</v>
      </c>
    </row>
    <row r="17">
      <c r="A17" s="10" t="s">
        <v>22</v>
      </c>
      <c r="B17" s="10" t="s">
        <v>71</v>
      </c>
      <c r="C17" s="11" t="s">
        <v>89</v>
      </c>
      <c r="D17" s="12" t="s">
        <v>90</v>
      </c>
      <c r="E17" s="12" t="s">
        <v>90</v>
      </c>
      <c r="F17" s="11">
        <v>10.0</v>
      </c>
      <c r="G17" s="13">
        <f t="shared" si="1"/>
        <v>0</v>
      </c>
      <c r="H17" s="14">
        <f t="shared" si="2"/>
        <v>0</v>
      </c>
      <c r="I17" s="15" t="s">
        <v>27</v>
      </c>
      <c r="J17" s="16" t="s">
        <v>75</v>
      </c>
      <c r="K17" s="5" t="s">
        <v>29</v>
      </c>
      <c r="L17" s="17"/>
      <c r="M17" s="18" t="s">
        <v>60</v>
      </c>
      <c r="N17" s="5" t="s">
        <v>77</v>
      </c>
      <c r="O17" s="19">
        <v>46234.0</v>
      </c>
      <c r="P17" s="20"/>
      <c r="Q17" s="26">
        <v>10.0</v>
      </c>
      <c r="R17" s="26">
        <v>10.0</v>
      </c>
      <c r="S17" s="28"/>
      <c r="T17" s="21" t="str">
        <f t="shared" si="3"/>
        <v>1. GOVERNANÇA - Judicialização da Saúde - Possuir unidade judiciária especializada na temática da saúde</v>
      </c>
      <c r="U17" s="22">
        <f t="shared" si="4"/>
        <v>10</v>
      </c>
      <c r="V17" s="23">
        <f>IFERROR(VLOOKUP(T17,'Parcial - Prestação de contas'!A:D,4, ),0)</f>
        <v>0</v>
      </c>
    </row>
    <row r="18">
      <c r="A18" s="10" t="s">
        <v>22</v>
      </c>
      <c r="B18" s="10" t="s">
        <v>91</v>
      </c>
      <c r="C18" s="11" t="s">
        <v>92</v>
      </c>
      <c r="D18" s="12" t="s">
        <v>93</v>
      </c>
      <c r="E18" s="12" t="s">
        <v>93</v>
      </c>
      <c r="F18" s="11">
        <v>15.0</v>
      </c>
      <c r="G18" s="13">
        <f t="shared" si="1"/>
        <v>0</v>
      </c>
      <c r="H18" s="14">
        <f t="shared" si="2"/>
        <v>0</v>
      </c>
      <c r="I18" s="15" t="s">
        <v>27</v>
      </c>
      <c r="J18" s="25" t="s">
        <v>94</v>
      </c>
      <c r="K18" s="5" t="s">
        <v>59</v>
      </c>
      <c r="L18" s="17"/>
      <c r="M18" s="18" t="s">
        <v>60</v>
      </c>
      <c r="N18" s="5" t="s">
        <v>81</v>
      </c>
      <c r="O18" s="19">
        <v>46234.0</v>
      </c>
      <c r="P18" s="20"/>
      <c r="Q18" s="26">
        <v>15.0</v>
      </c>
      <c r="R18" s="26">
        <v>15.0</v>
      </c>
      <c r="S18" s="28"/>
      <c r="T18" s="21" t="str">
        <f t="shared" si="3"/>
        <v>1. GOVERNANÇA - Centro de Inteligência do Poder Judiciário - Emitir 3 Notas técnicas</v>
      </c>
      <c r="U18" s="22">
        <f t="shared" si="4"/>
        <v>15</v>
      </c>
      <c r="V18" s="23">
        <f>IFERROR(VLOOKUP(T18,'Parcial - Prestação de contas'!A:D,4, ),0)</f>
        <v>0</v>
      </c>
    </row>
    <row r="19">
      <c r="A19" s="10" t="s">
        <v>22</v>
      </c>
      <c r="B19" s="10" t="s">
        <v>95</v>
      </c>
      <c r="C19" s="29" t="s">
        <v>96</v>
      </c>
      <c r="D19" s="12" t="s">
        <v>97</v>
      </c>
      <c r="E19" s="12" t="s">
        <v>98</v>
      </c>
      <c r="F19" s="11">
        <v>10.0</v>
      </c>
      <c r="G19" s="13">
        <f t="shared" si="1"/>
        <v>0</v>
      </c>
      <c r="H19" s="14">
        <f t="shared" si="2"/>
        <v>0</v>
      </c>
      <c r="I19" s="15" t="s">
        <v>27</v>
      </c>
      <c r="J19" s="25" t="s">
        <v>99</v>
      </c>
      <c r="K19" s="5" t="s">
        <v>100</v>
      </c>
      <c r="L19" s="17"/>
      <c r="M19" s="18" t="s">
        <v>60</v>
      </c>
      <c r="N19" s="5" t="s">
        <v>81</v>
      </c>
      <c r="O19" s="19">
        <v>46234.0</v>
      </c>
      <c r="P19" s="20"/>
      <c r="Q19" s="26">
        <v>10.0</v>
      </c>
      <c r="R19" s="26">
        <v>10.0</v>
      </c>
      <c r="S19" s="28"/>
      <c r="T19" s="21" t="str">
        <f t="shared" si="3"/>
        <v>1. GOVERNANÇA - Assédio Moral, Sexual e Discriminação - Capacitação de servidores chefes</v>
      </c>
      <c r="U19" s="22">
        <f t="shared" si="4"/>
        <v>10</v>
      </c>
      <c r="V19" s="23">
        <f>IFERROR(VLOOKUP(T19,'Parcial - Prestação de contas'!A:D,4, ),0)</f>
        <v>0</v>
      </c>
    </row>
    <row r="20">
      <c r="A20" s="10" t="s">
        <v>22</v>
      </c>
      <c r="B20" s="10" t="s">
        <v>95</v>
      </c>
      <c r="C20" s="30" t="s">
        <v>101</v>
      </c>
      <c r="D20" s="12" t="s">
        <v>102</v>
      </c>
      <c r="E20" s="12" t="s">
        <v>103</v>
      </c>
      <c r="F20" s="11">
        <v>10.0</v>
      </c>
      <c r="G20" s="13">
        <f t="shared" si="1"/>
        <v>0</v>
      </c>
      <c r="H20" s="14">
        <f t="shared" si="2"/>
        <v>0</v>
      </c>
      <c r="I20" s="15" t="s">
        <v>27</v>
      </c>
      <c r="J20" s="25" t="s">
        <v>99</v>
      </c>
      <c r="K20" s="5" t="s">
        <v>88</v>
      </c>
      <c r="L20" s="17"/>
      <c r="M20" s="18" t="s">
        <v>60</v>
      </c>
      <c r="N20" s="5" t="s">
        <v>104</v>
      </c>
      <c r="O20" s="19">
        <v>46234.0</v>
      </c>
      <c r="P20" s="20"/>
      <c r="Q20" s="26">
        <v>10.0</v>
      </c>
      <c r="R20" s="26"/>
      <c r="S20" s="28"/>
      <c r="T20" s="21" t="str">
        <f t="shared" si="3"/>
        <v>1. GOVERNANÇA - Assédio Moral, Sexual e Discriminação - Semana de Combate ao Assédio</v>
      </c>
      <c r="U20" s="22">
        <f t="shared" si="4"/>
        <v>10</v>
      </c>
      <c r="V20" s="23">
        <f>IFERROR(VLOOKUP(T20,'Parcial - Prestação de contas'!A:D,4, ),0)</f>
        <v>0</v>
      </c>
    </row>
    <row r="21">
      <c r="A21" s="10" t="s">
        <v>22</v>
      </c>
      <c r="B21" s="10" t="s">
        <v>95</v>
      </c>
      <c r="C21" s="30" t="s">
        <v>105</v>
      </c>
      <c r="D21" s="12" t="s">
        <v>106</v>
      </c>
      <c r="E21" s="12" t="s">
        <v>107</v>
      </c>
      <c r="F21" s="11">
        <v>10.0</v>
      </c>
      <c r="G21" s="13">
        <f t="shared" si="1"/>
        <v>0</v>
      </c>
      <c r="H21" s="14">
        <f t="shared" si="2"/>
        <v>0</v>
      </c>
      <c r="I21" s="15" t="s">
        <v>27</v>
      </c>
      <c r="J21" s="25" t="s">
        <v>99</v>
      </c>
      <c r="K21" s="5" t="s">
        <v>100</v>
      </c>
      <c r="L21" s="17"/>
      <c r="M21" s="18" t="s">
        <v>60</v>
      </c>
      <c r="N21" s="5" t="s">
        <v>108</v>
      </c>
      <c r="O21" s="19">
        <v>46173.0</v>
      </c>
      <c r="P21" s="20"/>
      <c r="Q21" s="26">
        <v>10.0</v>
      </c>
      <c r="R21" s="26">
        <v>10.0</v>
      </c>
      <c r="S21" s="28"/>
      <c r="T21" s="21" t="str">
        <f t="shared" si="3"/>
        <v>1. GOVERNANÇA - Assédio Moral, Sexual e Discriminação - Campanha de orientação</v>
      </c>
      <c r="U21" s="22">
        <f t="shared" si="4"/>
        <v>10</v>
      </c>
      <c r="V21" s="23">
        <f>IFERROR(VLOOKUP(T21,'Parcial - Prestação de contas'!A:D,4, ),0)</f>
        <v>0</v>
      </c>
    </row>
    <row r="22">
      <c r="A22" s="10" t="s">
        <v>22</v>
      </c>
      <c r="B22" s="10" t="s">
        <v>95</v>
      </c>
      <c r="C22" s="11" t="s">
        <v>109</v>
      </c>
      <c r="D22" s="12" t="s">
        <v>110</v>
      </c>
      <c r="E22" s="12" t="s">
        <v>111</v>
      </c>
      <c r="F22" s="11">
        <v>10.0</v>
      </c>
      <c r="G22" s="13">
        <f t="shared" si="1"/>
        <v>0</v>
      </c>
      <c r="H22" s="14">
        <f t="shared" si="2"/>
        <v>0</v>
      </c>
      <c r="I22" s="15" t="s">
        <v>27</v>
      </c>
      <c r="J22" s="25" t="s">
        <v>99</v>
      </c>
      <c r="K22" s="5" t="s">
        <v>100</v>
      </c>
      <c r="L22" s="17"/>
      <c r="M22" s="18" t="s">
        <v>60</v>
      </c>
      <c r="N22" s="5" t="s">
        <v>112</v>
      </c>
      <c r="O22" s="19">
        <v>46234.0</v>
      </c>
      <c r="P22" s="20"/>
      <c r="Q22" s="26">
        <v>10.0</v>
      </c>
      <c r="R22" s="26"/>
      <c r="S22" s="28"/>
      <c r="T22" s="21" t="str">
        <f t="shared" si="3"/>
        <v>1. GOVERNANÇA - Assédio Moral, Sexual e Discriminação - Penquisa que avalie assédio no tribunal</v>
      </c>
      <c r="U22" s="22">
        <f t="shared" si="4"/>
        <v>10</v>
      </c>
      <c r="V22" s="23">
        <f>IFERROR(VLOOKUP(T22,'Parcial - Prestação de contas'!A:D,4, ),0)</f>
        <v>0</v>
      </c>
    </row>
    <row r="23">
      <c r="A23" s="10" t="s">
        <v>22</v>
      </c>
      <c r="B23" s="10" t="s">
        <v>113</v>
      </c>
      <c r="C23" s="11" t="s">
        <v>114</v>
      </c>
      <c r="D23" s="12" t="s">
        <v>115</v>
      </c>
      <c r="E23" s="12" t="s">
        <v>116</v>
      </c>
      <c r="F23" s="11">
        <v>20.0</v>
      </c>
      <c r="G23" s="13">
        <f t="shared" si="1"/>
        <v>0</v>
      </c>
      <c r="H23" s="14">
        <f t="shared" si="2"/>
        <v>0</v>
      </c>
      <c r="I23" s="15" t="s">
        <v>27</v>
      </c>
      <c r="J23" s="25" t="s">
        <v>28</v>
      </c>
      <c r="K23" s="5" t="s">
        <v>117</v>
      </c>
      <c r="L23" s="31"/>
      <c r="M23" s="18" t="s">
        <v>60</v>
      </c>
      <c r="N23" s="5" t="s">
        <v>81</v>
      </c>
      <c r="O23" s="19">
        <v>46234.0</v>
      </c>
      <c r="P23" s="20"/>
      <c r="Q23" s="26">
        <v>20.0</v>
      </c>
      <c r="R23" s="26">
        <v>20.0</v>
      </c>
      <c r="S23" s="28"/>
      <c r="T23" s="21" t="str">
        <f t="shared" si="3"/>
        <v>1. GOVERNANÇA - Gestão de Memória e Documental - Ambientes físicos e virtuais de preservação da memória</v>
      </c>
      <c r="U23" s="22">
        <f t="shared" si="4"/>
        <v>20</v>
      </c>
      <c r="V23" s="23">
        <f>IFERROR(VLOOKUP(T23,'Parcial - Prestação de contas'!A:D,4, ),0)</f>
        <v>0</v>
      </c>
    </row>
    <row r="24">
      <c r="A24" s="10" t="s">
        <v>22</v>
      </c>
      <c r="B24" s="10" t="s">
        <v>113</v>
      </c>
      <c r="C24" s="11" t="s">
        <v>118</v>
      </c>
      <c r="D24" s="12" t="s">
        <v>119</v>
      </c>
      <c r="E24" s="12" t="s">
        <v>120</v>
      </c>
      <c r="F24" s="11">
        <v>10.0</v>
      </c>
      <c r="G24" s="13">
        <f t="shared" si="1"/>
        <v>0</v>
      </c>
      <c r="H24" s="14">
        <f t="shared" si="2"/>
        <v>0</v>
      </c>
      <c r="I24" s="15" t="s">
        <v>27</v>
      </c>
      <c r="J24" s="25" t="s">
        <v>28</v>
      </c>
      <c r="K24" s="5" t="s">
        <v>117</v>
      </c>
      <c r="L24" s="17"/>
      <c r="M24" s="18" t="s">
        <v>60</v>
      </c>
      <c r="N24" s="5" t="s">
        <v>77</v>
      </c>
      <c r="O24" s="19">
        <v>46234.0</v>
      </c>
      <c r="P24" s="20"/>
      <c r="Q24" s="26">
        <v>10.0</v>
      </c>
      <c r="R24" s="26">
        <v>10.0</v>
      </c>
      <c r="S24" s="28"/>
      <c r="T24" s="21" t="str">
        <f t="shared" si="3"/>
        <v>1. GOVERNANÇA - Gestão de Memória e Documental - Editais de eliminação</v>
      </c>
      <c r="U24" s="22">
        <f t="shared" si="4"/>
        <v>10</v>
      </c>
      <c r="V24" s="23">
        <f>IFERROR(VLOOKUP(T24,'Parcial - Prestação de contas'!A:D,4, ),0)</f>
        <v>0</v>
      </c>
    </row>
    <row r="25">
      <c r="A25" s="10" t="s">
        <v>22</v>
      </c>
      <c r="B25" s="10" t="s">
        <v>121</v>
      </c>
      <c r="C25" s="11" t="s">
        <v>122</v>
      </c>
      <c r="D25" s="12" t="s">
        <v>123</v>
      </c>
      <c r="E25" s="12" t="s">
        <v>124</v>
      </c>
      <c r="F25" s="11">
        <v>10.0</v>
      </c>
      <c r="G25" s="13">
        <f t="shared" si="1"/>
        <v>0</v>
      </c>
      <c r="H25" s="14">
        <f t="shared" si="2"/>
        <v>0</v>
      </c>
      <c r="I25" s="15" t="s">
        <v>27</v>
      </c>
      <c r="J25" s="25" t="s">
        <v>125</v>
      </c>
      <c r="K25" s="5" t="s">
        <v>126</v>
      </c>
      <c r="L25" s="17"/>
      <c r="M25" s="18" t="s">
        <v>60</v>
      </c>
      <c r="N25" s="5" t="s">
        <v>77</v>
      </c>
      <c r="O25" s="19">
        <v>46234.0</v>
      </c>
      <c r="P25" s="20"/>
      <c r="Q25" s="26">
        <v>10.0</v>
      </c>
      <c r="R25" s="26">
        <v>10.0</v>
      </c>
      <c r="S25" s="28"/>
      <c r="T25" s="21" t="str">
        <f t="shared" si="3"/>
        <v>1. GOVERNANÇA - Política Nacional de Justiça Restaurativa - Possuir CEJURE</v>
      </c>
      <c r="U25" s="22">
        <f t="shared" si="4"/>
        <v>10</v>
      </c>
      <c r="V25" s="23">
        <f>IFERROR(VLOOKUP(T25,'Parcial - Prestação de contas'!A:D,4, ),0)</f>
        <v>0</v>
      </c>
    </row>
    <row r="26">
      <c r="A26" s="10" t="s">
        <v>22</v>
      </c>
      <c r="B26" s="10" t="s">
        <v>121</v>
      </c>
      <c r="C26" s="11" t="s">
        <v>127</v>
      </c>
      <c r="D26" s="12" t="s">
        <v>86</v>
      </c>
      <c r="E26" s="12" t="s">
        <v>128</v>
      </c>
      <c r="F26" s="11">
        <v>20.0</v>
      </c>
      <c r="G26" s="13">
        <f t="shared" si="1"/>
        <v>0</v>
      </c>
      <c r="H26" s="14">
        <f t="shared" si="2"/>
        <v>0</v>
      </c>
      <c r="I26" s="15" t="s">
        <v>27</v>
      </c>
      <c r="J26" s="25" t="s">
        <v>125</v>
      </c>
      <c r="K26" s="5" t="s">
        <v>126</v>
      </c>
      <c r="L26" s="17"/>
      <c r="M26" s="18" t="s">
        <v>60</v>
      </c>
      <c r="N26" s="5" t="s">
        <v>81</v>
      </c>
      <c r="O26" s="19">
        <v>46234.0</v>
      </c>
      <c r="P26" s="20"/>
      <c r="Q26" s="26">
        <v>20.0</v>
      </c>
      <c r="R26" s="26">
        <v>20.0</v>
      </c>
      <c r="S26" s="28"/>
      <c r="T26" s="21" t="str">
        <f t="shared" si="3"/>
        <v>1. GOVERNANÇA - Política Nacional de Justiça Restaurativa - Capacitação</v>
      </c>
      <c r="U26" s="22">
        <f t="shared" si="4"/>
        <v>20</v>
      </c>
      <c r="V26" s="23">
        <f>IFERROR(VLOOKUP(T26,'Parcial - Prestação de contas'!A:D,4, ),0)</f>
        <v>0</v>
      </c>
    </row>
    <row r="27">
      <c r="A27" s="10" t="s">
        <v>22</v>
      </c>
      <c r="B27" s="10" t="s">
        <v>121</v>
      </c>
      <c r="C27" s="11" t="s">
        <v>129</v>
      </c>
      <c r="D27" s="12" t="s">
        <v>130</v>
      </c>
      <c r="E27" s="12" t="s">
        <v>131</v>
      </c>
      <c r="F27" s="11">
        <v>10.0</v>
      </c>
      <c r="G27" s="13">
        <f t="shared" si="1"/>
        <v>0</v>
      </c>
      <c r="H27" s="14">
        <f t="shared" si="2"/>
        <v>0</v>
      </c>
      <c r="I27" s="15" t="s">
        <v>27</v>
      </c>
      <c r="J27" s="25" t="s">
        <v>125</v>
      </c>
      <c r="K27" s="5" t="s">
        <v>126</v>
      </c>
      <c r="L27" s="17"/>
      <c r="M27" s="18" t="s">
        <v>60</v>
      </c>
      <c r="N27" s="5" t="s">
        <v>81</v>
      </c>
      <c r="O27" s="19">
        <v>46234.0</v>
      </c>
      <c r="P27" s="20"/>
      <c r="Q27" s="26">
        <v>10.0</v>
      </c>
      <c r="R27" s="26">
        <v>10.0</v>
      </c>
      <c r="S27" s="28"/>
      <c r="T27" s="21" t="str">
        <f t="shared" si="3"/>
        <v>1. GOVERNANÇA - Política Nacional de Justiça Restaurativa - Relatório de Atividades</v>
      </c>
      <c r="U27" s="22">
        <f t="shared" si="4"/>
        <v>10</v>
      </c>
      <c r="V27" s="23">
        <f>IFERROR(VLOOKUP(T27,'Parcial - Prestação de contas'!A:D,4, ),0)</f>
        <v>0</v>
      </c>
    </row>
    <row r="28">
      <c r="A28" s="10" t="s">
        <v>22</v>
      </c>
      <c r="B28" s="10" t="s">
        <v>132</v>
      </c>
      <c r="C28" s="11" t="s">
        <v>133</v>
      </c>
      <c r="D28" s="12" t="s">
        <v>134</v>
      </c>
      <c r="E28" s="12" t="s">
        <v>134</v>
      </c>
      <c r="F28" s="11">
        <v>20.0</v>
      </c>
      <c r="G28" s="13">
        <f t="shared" si="1"/>
        <v>0</v>
      </c>
      <c r="H28" s="14">
        <f t="shared" si="2"/>
        <v>0</v>
      </c>
      <c r="I28" s="15" t="s">
        <v>27</v>
      </c>
      <c r="J28" s="25" t="s">
        <v>135</v>
      </c>
      <c r="K28" s="5" t="s">
        <v>136</v>
      </c>
      <c r="L28" s="17"/>
      <c r="M28" s="18" t="s">
        <v>60</v>
      </c>
      <c r="N28" s="5" t="s">
        <v>77</v>
      </c>
      <c r="O28" s="19">
        <v>46234.0</v>
      </c>
      <c r="P28" s="20"/>
      <c r="Q28" s="26">
        <v>20.0</v>
      </c>
      <c r="R28" s="26">
        <v>20.0</v>
      </c>
      <c r="S28" s="28"/>
      <c r="T28" s="21" t="str">
        <f t="shared" si="3"/>
        <v>1. GOVERNANÇA - Instalar GMF - Estrutura de apoio administrativo / Equipe multiprofissional</v>
      </c>
      <c r="U28" s="22">
        <f t="shared" si="4"/>
        <v>20</v>
      </c>
      <c r="V28" s="23">
        <f>IFERROR(VLOOKUP(T28,'Parcial - Prestação de contas'!A:D,4, ),0)</f>
        <v>0</v>
      </c>
    </row>
    <row r="29">
      <c r="A29" s="10" t="s">
        <v>22</v>
      </c>
      <c r="B29" s="10" t="s">
        <v>137</v>
      </c>
      <c r="C29" s="11" t="s">
        <v>138</v>
      </c>
      <c r="D29" s="12" t="s">
        <v>137</v>
      </c>
      <c r="E29" s="12" t="s">
        <v>137</v>
      </c>
      <c r="F29" s="11">
        <v>30.0</v>
      </c>
      <c r="G29" s="13">
        <f t="shared" si="1"/>
        <v>0</v>
      </c>
      <c r="H29" s="14">
        <f t="shared" si="2"/>
        <v>0</v>
      </c>
      <c r="I29" s="15" t="s">
        <v>27</v>
      </c>
      <c r="J29" s="25" t="s">
        <v>135</v>
      </c>
      <c r="K29" s="5" t="s">
        <v>139</v>
      </c>
      <c r="L29" s="18" t="s">
        <v>140</v>
      </c>
      <c r="M29" s="18" t="s">
        <v>141</v>
      </c>
      <c r="N29" s="5" t="s">
        <v>142</v>
      </c>
      <c r="O29" s="19">
        <v>46265.0</v>
      </c>
      <c r="P29" s="20"/>
      <c r="Q29" s="26">
        <v>0.0</v>
      </c>
      <c r="R29" s="26">
        <v>0.0</v>
      </c>
      <c r="S29" s="26" t="s">
        <v>32</v>
      </c>
      <c r="T29" s="21" t="str">
        <f t="shared" si="3"/>
        <v>1. GOVERNANÇA - Inspeções nos estabelecimentos penais</v>
      </c>
      <c r="U29" s="22">
        <f t="shared" si="4"/>
        <v>30</v>
      </c>
      <c r="V29" s="23">
        <f>IFERROR(VLOOKUP(T29,'Parcial - Prestação de contas'!A:D,4, ),0)</f>
        <v>0</v>
      </c>
    </row>
    <row r="30">
      <c r="A30" s="10" t="s">
        <v>22</v>
      </c>
      <c r="B30" s="10" t="s">
        <v>143</v>
      </c>
      <c r="C30" s="11" t="s">
        <v>144</v>
      </c>
      <c r="D30" s="12" t="s">
        <v>145</v>
      </c>
      <c r="E30" s="12" t="s">
        <v>145</v>
      </c>
      <c r="F30" s="11">
        <v>20.0</v>
      </c>
      <c r="G30" s="13">
        <f t="shared" si="1"/>
        <v>0</v>
      </c>
      <c r="H30" s="14">
        <f t="shared" si="2"/>
        <v>0</v>
      </c>
      <c r="I30" s="15" t="s">
        <v>27</v>
      </c>
      <c r="J30" s="25" t="s">
        <v>58</v>
      </c>
      <c r="K30" s="5" t="s">
        <v>139</v>
      </c>
      <c r="L30" s="18" t="s">
        <v>140</v>
      </c>
      <c r="M30" s="18" t="s">
        <v>146</v>
      </c>
      <c r="N30" s="5" t="s">
        <v>147</v>
      </c>
      <c r="O30" s="19">
        <v>46203.0</v>
      </c>
      <c r="P30" s="20"/>
      <c r="Q30" s="26">
        <v>20.0</v>
      </c>
      <c r="R30" s="26">
        <v>20.0</v>
      </c>
      <c r="S30" s="26" t="s">
        <v>32</v>
      </c>
      <c r="T30" s="21" t="str">
        <f t="shared" si="3"/>
        <v>1. GOVERNANÇA - Inspeções nos estabelecimentos de medidas socioeducativas - Meio Fechado</v>
      </c>
      <c r="U30" s="22">
        <f t="shared" si="4"/>
        <v>20</v>
      </c>
      <c r="V30" s="23">
        <f>IFERROR(VLOOKUP(T30,'Parcial - Prestação de contas'!A:D,4, ),0)</f>
        <v>0</v>
      </c>
    </row>
    <row r="31">
      <c r="A31" s="10" t="s">
        <v>22</v>
      </c>
      <c r="B31" s="10" t="s">
        <v>143</v>
      </c>
      <c r="C31" s="11" t="s">
        <v>148</v>
      </c>
      <c r="D31" s="12" t="s">
        <v>149</v>
      </c>
      <c r="E31" s="12" t="s">
        <v>149</v>
      </c>
      <c r="F31" s="11">
        <v>10.0</v>
      </c>
      <c r="G31" s="13">
        <f t="shared" si="1"/>
        <v>0</v>
      </c>
      <c r="H31" s="14">
        <f t="shared" si="2"/>
        <v>0</v>
      </c>
      <c r="I31" s="15" t="s">
        <v>27</v>
      </c>
      <c r="J31" s="25" t="s">
        <v>58</v>
      </c>
      <c r="K31" s="5" t="s">
        <v>139</v>
      </c>
      <c r="L31" s="18" t="s">
        <v>140</v>
      </c>
      <c r="M31" s="18" t="s">
        <v>146</v>
      </c>
      <c r="N31" s="5" t="s">
        <v>147</v>
      </c>
      <c r="O31" s="19">
        <v>46203.0</v>
      </c>
      <c r="P31" s="20"/>
      <c r="Q31" s="26">
        <v>10.0</v>
      </c>
      <c r="R31" s="26">
        <v>10.0</v>
      </c>
      <c r="S31" s="26" t="s">
        <v>32</v>
      </c>
      <c r="T31" s="21" t="str">
        <f t="shared" si="3"/>
        <v>1. GOVERNANÇA - Inspeções nos estabelecimentos de medidas socioeducativas - Meio aberto</v>
      </c>
      <c r="U31" s="22">
        <f t="shared" si="4"/>
        <v>10</v>
      </c>
      <c r="V31" s="23">
        <f>IFERROR(VLOOKUP(T31,'Parcial - Prestação de contas'!A:D,4, ),0)</f>
        <v>0</v>
      </c>
    </row>
    <row r="32">
      <c r="A32" s="10" t="s">
        <v>22</v>
      </c>
      <c r="B32" s="10" t="s">
        <v>150</v>
      </c>
      <c r="C32" s="11" t="s">
        <v>151</v>
      </c>
      <c r="D32" s="12" t="s">
        <v>152</v>
      </c>
      <c r="E32" s="12" t="s">
        <v>153</v>
      </c>
      <c r="F32" s="11">
        <v>10.0</v>
      </c>
      <c r="G32" s="13">
        <f t="shared" si="1"/>
        <v>0</v>
      </c>
      <c r="H32" s="14">
        <f t="shared" si="2"/>
        <v>0</v>
      </c>
      <c r="I32" s="15" t="s">
        <v>27</v>
      </c>
      <c r="J32" s="25" t="s">
        <v>135</v>
      </c>
      <c r="K32" s="5" t="s">
        <v>154</v>
      </c>
      <c r="L32" s="17"/>
      <c r="M32" s="18" t="s">
        <v>60</v>
      </c>
      <c r="N32" s="5" t="s">
        <v>81</v>
      </c>
      <c r="O32" s="19">
        <v>46234.0</v>
      </c>
      <c r="P32" s="20"/>
      <c r="Q32" s="26">
        <v>10.0</v>
      </c>
      <c r="R32" s="26">
        <v>0.0</v>
      </c>
      <c r="S32" s="28"/>
      <c r="T32" s="21" t="str">
        <f t="shared" si="3"/>
        <v>1. GOVERNANÇA - Participação Institucional Feminina - Paridade na promoção por merecimento</v>
      </c>
      <c r="U32" s="22">
        <f t="shared" si="4"/>
        <v>10</v>
      </c>
      <c r="V32" s="23">
        <f>IFERROR(VLOOKUP(T32,'Parcial - Prestação de contas'!A:D,4, ),0)</f>
        <v>0</v>
      </c>
    </row>
    <row r="33">
      <c r="A33" s="10" t="s">
        <v>22</v>
      </c>
      <c r="B33" s="10" t="s">
        <v>150</v>
      </c>
      <c r="C33" s="11" t="s">
        <v>155</v>
      </c>
      <c r="D33" s="12" t="s">
        <v>156</v>
      </c>
      <c r="E33" s="12" t="s">
        <v>157</v>
      </c>
      <c r="F33" s="11">
        <v>10.0</v>
      </c>
      <c r="G33" s="13">
        <f t="shared" si="1"/>
        <v>0</v>
      </c>
      <c r="H33" s="14">
        <f t="shared" si="2"/>
        <v>0</v>
      </c>
      <c r="I33" s="15" t="s">
        <v>27</v>
      </c>
      <c r="J33" s="25" t="s">
        <v>135</v>
      </c>
      <c r="K33" s="5" t="s">
        <v>158</v>
      </c>
      <c r="L33" s="17"/>
      <c r="M33" s="18" t="s">
        <v>30</v>
      </c>
      <c r="N33" s="5" t="s">
        <v>77</v>
      </c>
      <c r="O33" s="19">
        <v>46234.0</v>
      </c>
      <c r="P33" s="20"/>
      <c r="Q33" s="26">
        <v>0.0</v>
      </c>
      <c r="R33" s="26">
        <v>0.0</v>
      </c>
      <c r="S33" s="28"/>
      <c r="T33" s="21" t="str">
        <f t="shared" si="3"/>
        <v>1. GOVERNANÇA - Participação Institucional Feminina - Paridade magistradas auxiliares</v>
      </c>
      <c r="U33" s="22">
        <f t="shared" si="4"/>
        <v>10</v>
      </c>
      <c r="V33" s="23">
        <f>IFERROR(VLOOKUP(T33,'Parcial - Prestação de contas'!A:D,4, ),0)</f>
        <v>0</v>
      </c>
    </row>
    <row r="34">
      <c r="A34" s="10" t="s">
        <v>22</v>
      </c>
      <c r="B34" s="10" t="s">
        <v>150</v>
      </c>
      <c r="C34" s="11" t="s">
        <v>159</v>
      </c>
      <c r="D34" s="12" t="s">
        <v>160</v>
      </c>
      <c r="E34" s="12" t="s">
        <v>161</v>
      </c>
      <c r="F34" s="11">
        <v>10.0</v>
      </c>
      <c r="G34" s="13">
        <f t="shared" si="1"/>
        <v>0</v>
      </c>
      <c r="H34" s="14">
        <f t="shared" si="2"/>
        <v>0</v>
      </c>
      <c r="I34" s="15" t="s">
        <v>27</v>
      </c>
      <c r="J34" s="25" t="s">
        <v>135</v>
      </c>
      <c r="K34" s="5" t="s">
        <v>154</v>
      </c>
      <c r="L34" s="17"/>
      <c r="M34" s="18" t="s">
        <v>60</v>
      </c>
      <c r="N34" s="5" t="s">
        <v>81</v>
      </c>
      <c r="O34" s="19">
        <v>46234.0</v>
      </c>
      <c r="P34" s="20"/>
      <c r="Q34" s="26">
        <v>0.0</v>
      </c>
      <c r="R34" s="26">
        <v>10.0</v>
      </c>
      <c r="S34" s="28"/>
      <c r="T34" s="21" t="str">
        <f t="shared" si="3"/>
        <v>1. GOVERNANÇA - Participação Institucional Feminina - Paridade cortes eleitorais</v>
      </c>
      <c r="U34" s="22">
        <f t="shared" si="4"/>
        <v>10</v>
      </c>
      <c r="V34" s="23">
        <f>IFERROR(VLOOKUP(T34,'Parcial - Prestação de contas'!A:D,4, ),0)</f>
        <v>0</v>
      </c>
    </row>
    <row r="35">
      <c r="A35" s="10" t="s">
        <v>22</v>
      </c>
      <c r="B35" s="10" t="s">
        <v>150</v>
      </c>
      <c r="C35" s="11" t="s">
        <v>162</v>
      </c>
      <c r="D35" s="12" t="s">
        <v>163</v>
      </c>
      <c r="E35" s="12" t="s">
        <v>164</v>
      </c>
      <c r="F35" s="11">
        <v>10.0</v>
      </c>
      <c r="G35" s="13">
        <f t="shared" si="1"/>
        <v>0</v>
      </c>
      <c r="H35" s="14">
        <f t="shared" si="2"/>
        <v>0</v>
      </c>
      <c r="I35" s="15" t="s">
        <v>27</v>
      </c>
      <c r="J35" s="25" t="s">
        <v>135</v>
      </c>
      <c r="K35" s="5" t="s">
        <v>29</v>
      </c>
      <c r="L35" s="17"/>
      <c r="M35" s="18" t="s">
        <v>30</v>
      </c>
      <c r="N35" s="5" t="s">
        <v>77</v>
      </c>
      <c r="O35" s="19">
        <v>46234.0</v>
      </c>
      <c r="P35" s="20"/>
      <c r="Q35" s="26">
        <v>10.0</v>
      </c>
      <c r="R35" s="26">
        <v>10.0</v>
      </c>
      <c r="S35" s="28"/>
      <c r="T35" s="21" t="str">
        <f t="shared" si="3"/>
        <v>1. GOVERNANÇA - Participação Institucional Feminina - Paridade servidoras ocupantes de cargos de chefia</v>
      </c>
      <c r="U35" s="22">
        <f t="shared" si="4"/>
        <v>10</v>
      </c>
      <c r="V35" s="23">
        <f>IFERROR(VLOOKUP(T35,'Parcial - Prestação de contas'!A:D,4, ),0)</f>
        <v>0</v>
      </c>
    </row>
    <row r="36">
      <c r="A36" s="10" t="s">
        <v>22</v>
      </c>
      <c r="B36" s="10" t="s">
        <v>165</v>
      </c>
      <c r="C36" s="11" t="s">
        <v>166</v>
      </c>
      <c r="D36" s="12" t="s">
        <v>167</v>
      </c>
      <c r="E36" s="12" t="s">
        <v>168</v>
      </c>
      <c r="F36" s="11">
        <v>20.0</v>
      </c>
      <c r="G36" s="13">
        <f t="shared" si="1"/>
        <v>0</v>
      </c>
      <c r="H36" s="14">
        <f t="shared" si="2"/>
        <v>0</v>
      </c>
      <c r="I36" s="15" t="s">
        <v>27</v>
      </c>
      <c r="J36" s="25" t="s">
        <v>135</v>
      </c>
      <c r="K36" s="5" t="s">
        <v>139</v>
      </c>
      <c r="L36" s="17"/>
      <c r="M36" s="18" t="s">
        <v>60</v>
      </c>
      <c r="N36" s="5" t="s">
        <v>81</v>
      </c>
      <c r="O36" s="19">
        <v>46234.0</v>
      </c>
      <c r="P36" s="20"/>
      <c r="Q36" s="26">
        <v>20.0</v>
      </c>
      <c r="R36" s="26">
        <v>20.0</v>
      </c>
      <c r="S36" s="28"/>
      <c r="T36" s="21" t="str">
        <f t="shared" si="3"/>
        <v>1. GOVERNANÇA - Apoio às Vítimas de Crimes e Atos Infracionais - Centros Especializados de Atenção às Vítimas
</v>
      </c>
      <c r="U36" s="22">
        <f t="shared" si="4"/>
        <v>20</v>
      </c>
      <c r="V36" s="23">
        <f>IFERROR(VLOOKUP(T36,'Parcial - Prestação de contas'!A:D,4, ),0)</f>
        <v>0</v>
      </c>
    </row>
    <row r="37">
      <c r="A37" s="10" t="s">
        <v>22</v>
      </c>
      <c r="B37" s="10" t="s">
        <v>169</v>
      </c>
      <c r="C37" s="11" t="s">
        <v>170</v>
      </c>
      <c r="D37" s="12" t="s">
        <v>171</v>
      </c>
      <c r="E37" s="12" t="s">
        <v>172</v>
      </c>
      <c r="F37" s="11">
        <v>10.0</v>
      </c>
      <c r="G37" s="13">
        <f t="shared" si="1"/>
        <v>0</v>
      </c>
      <c r="H37" s="14">
        <f t="shared" si="2"/>
        <v>0</v>
      </c>
      <c r="I37" s="15" t="s">
        <v>27</v>
      </c>
      <c r="J37" s="25" t="s">
        <v>28</v>
      </c>
      <c r="K37" s="5" t="s">
        <v>173</v>
      </c>
      <c r="L37" s="17"/>
      <c r="M37" s="18" t="s">
        <v>60</v>
      </c>
      <c r="N37" s="5" t="s">
        <v>174</v>
      </c>
      <c r="O37" s="27">
        <v>46022.0</v>
      </c>
      <c r="P37" s="20"/>
      <c r="Q37" s="26">
        <v>10.0</v>
      </c>
      <c r="R37" s="26">
        <v>10.0</v>
      </c>
      <c r="S37" s="28"/>
      <c r="T37" s="21" t="str">
        <f t="shared" si="3"/>
        <v>1. GOVERNANÇA - Acessibilidade e inclusão de pessoas com deficiência - Eventos realizados</v>
      </c>
      <c r="U37" s="22">
        <f t="shared" si="4"/>
        <v>10</v>
      </c>
      <c r="V37" s="23">
        <f>IFERROR(VLOOKUP(T37,'Parcial - Prestação de contas'!A:D,4, ),0)</f>
        <v>0</v>
      </c>
    </row>
    <row r="38">
      <c r="A38" s="10" t="s">
        <v>22</v>
      </c>
      <c r="B38" s="10" t="s">
        <v>169</v>
      </c>
      <c r="C38" s="11" t="s">
        <v>175</v>
      </c>
      <c r="D38" s="12" t="s">
        <v>176</v>
      </c>
      <c r="E38" s="12" t="s">
        <v>177</v>
      </c>
      <c r="F38" s="11">
        <v>10.0</v>
      </c>
      <c r="G38" s="13">
        <f t="shared" si="1"/>
        <v>0</v>
      </c>
      <c r="H38" s="14">
        <f t="shared" si="2"/>
        <v>0</v>
      </c>
      <c r="I38" s="15" t="s">
        <v>27</v>
      </c>
      <c r="J38" s="25" t="s">
        <v>178</v>
      </c>
      <c r="K38" s="5" t="s">
        <v>179</v>
      </c>
      <c r="L38" s="17"/>
      <c r="M38" s="18" t="s">
        <v>60</v>
      </c>
      <c r="N38" s="5" t="s">
        <v>70</v>
      </c>
      <c r="O38" s="27">
        <v>46022.0</v>
      </c>
      <c r="P38" s="20"/>
      <c r="Q38" s="26">
        <v>10.0</v>
      </c>
      <c r="R38" s="26">
        <v>10.0</v>
      </c>
      <c r="S38" s="28"/>
      <c r="T38" s="21" t="str">
        <f t="shared" si="3"/>
        <v>1. GOVERNANÇA - Acessibilidade e inclusão de pessoas com deficiência - Recursos de tecnologia assistida para srvidores com deficiência visual</v>
      </c>
      <c r="U38" s="22">
        <f t="shared" si="4"/>
        <v>10</v>
      </c>
      <c r="V38" s="23">
        <f>IFERROR(VLOOKUP(T38,'Parcial - Prestação de contas'!A:D,4, ),0)</f>
        <v>0</v>
      </c>
    </row>
    <row r="39">
      <c r="A39" s="10" t="s">
        <v>22</v>
      </c>
      <c r="B39" s="10" t="s">
        <v>169</v>
      </c>
      <c r="C39" s="11" t="s">
        <v>180</v>
      </c>
      <c r="D39" s="12" t="s">
        <v>181</v>
      </c>
      <c r="E39" s="12" t="s">
        <v>182</v>
      </c>
      <c r="F39" s="11">
        <v>5.0</v>
      </c>
      <c r="G39" s="13">
        <f t="shared" si="1"/>
        <v>0</v>
      </c>
      <c r="H39" s="14">
        <f t="shared" si="2"/>
        <v>0</v>
      </c>
      <c r="I39" s="15" t="s">
        <v>27</v>
      </c>
      <c r="J39" s="25" t="s">
        <v>58</v>
      </c>
      <c r="K39" s="5" t="s">
        <v>183</v>
      </c>
      <c r="L39" s="17"/>
      <c r="M39" s="18" t="s">
        <v>60</v>
      </c>
      <c r="N39" s="5" t="s">
        <v>70</v>
      </c>
      <c r="O39" s="27">
        <v>46022.0</v>
      </c>
      <c r="P39" s="20"/>
      <c r="Q39" s="26">
        <v>0.0</v>
      </c>
      <c r="R39" s="26">
        <v>0.0</v>
      </c>
      <c r="S39" s="28"/>
      <c r="T39" s="21" t="str">
        <f t="shared" si="3"/>
        <v>1. GOVERNANÇA - Acessibilidade e inclusão de pessoas com deficiência - Servidores capacitados(as)</v>
      </c>
      <c r="U39" s="22">
        <f t="shared" si="4"/>
        <v>5</v>
      </c>
      <c r="V39" s="23">
        <f>IFERROR(VLOOKUP(T39,'Parcial - Prestação de contas'!A:D,4, ),0)</f>
        <v>0</v>
      </c>
    </row>
    <row r="40">
      <c r="A40" s="10" t="s">
        <v>22</v>
      </c>
      <c r="B40" s="10" t="s">
        <v>169</v>
      </c>
      <c r="C40" s="32"/>
      <c r="D40" s="12" t="s">
        <v>184</v>
      </c>
      <c r="E40" s="12" t="s">
        <v>185</v>
      </c>
      <c r="F40" s="11"/>
      <c r="G40" s="13">
        <f t="shared" si="1"/>
        <v>0</v>
      </c>
      <c r="H40" s="14"/>
      <c r="I40" s="15" t="s">
        <v>27</v>
      </c>
      <c r="J40" s="25" t="s">
        <v>186</v>
      </c>
      <c r="K40" s="5" t="s">
        <v>100</v>
      </c>
      <c r="L40" s="17"/>
      <c r="M40" s="18" t="s">
        <v>60</v>
      </c>
      <c r="N40" s="5" t="s">
        <v>70</v>
      </c>
      <c r="O40" s="27">
        <v>46022.0</v>
      </c>
      <c r="P40" s="20"/>
      <c r="Q40" s="26"/>
      <c r="R40" s="26">
        <v>0.0</v>
      </c>
      <c r="S40" s="28"/>
      <c r="T40" s="21" t="str">
        <f t="shared" si="3"/>
        <v>1. GOVERNANÇA - Acessibilidade e inclusão de pessoas com deficiência - Relatório de Ações da COMPACI</v>
      </c>
      <c r="U40" s="22" t="str">
        <f t="shared" si="4"/>
        <v/>
      </c>
      <c r="V40" s="23">
        <f>IFERROR(VLOOKUP(T40,'Parcial - Prestação de contas'!A:D,4, ),0)</f>
        <v>0</v>
      </c>
    </row>
    <row r="41">
      <c r="A41" s="10" t="s">
        <v>22</v>
      </c>
      <c r="B41" s="10" t="s">
        <v>169</v>
      </c>
      <c r="C41" s="11" t="s">
        <v>187</v>
      </c>
      <c r="D41" s="12" t="s">
        <v>188</v>
      </c>
      <c r="E41" s="12" t="s">
        <v>189</v>
      </c>
      <c r="F41" s="11">
        <v>5.0</v>
      </c>
      <c r="G41" s="13">
        <f t="shared" si="1"/>
        <v>0</v>
      </c>
      <c r="H41" s="14">
        <f t="shared" ref="H41:H112" si="5">IFERROR(G41/F41,0)</f>
        <v>0</v>
      </c>
      <c r="I41" s="15" t="s">
        <v>27</v>
      </c>
      <c r="J41" s="25" t="s">
        <v>58</v>
      </c>
      <c r="K41" s="5" t="s">
        <v>88</v>
      </c>
      <c r="L41" s="17"/>
      <c r="M41" s="18" t="s">
        <v>60</v>
      </c>
      <c r="N41" s="5" t="s">
        <v>190</v>
      </c>
      <c r="O41" s="19">
        <v>46234.0</v>
      </c>
      <c r="P41" s="20"/>
      <c r="Q41" s="26">
        <v>5.0</v>
      </c>
      <c r="R41" s="26">
        <v>5.0</v>
      </c>
      <c r="S41" s="28"/>
      <c r="T41" s="21" t="str">
        <f t="shared" si="3"/>
        <v>1. GOVERNANÇA - Acessibilidade e inclusão de pessoas com deficiência - Magistrados(as) capacitados(as)</v>
      </c>
      <c r="U41" s="22">
        <f t="shared" si="4"/>
        <v>5</v>
      </c>
      <c r="V41" s="23">
        <f>IFERROR(VLOOKUP(T41,'Parcial - Prestação de contas'!A:D,4, ),0)</f>
        <v>0</v>
      </c>
    </row>
    <row r="42">
      <c r="A42" s="10" t="s">
        <v>22</v>
      </c>
      <c r="B42" s="10" t="s">
        <v>169</v>
      </c>
      <c r="C42" s="11" t="s">
        <v>191</v>
      </c>
      <c r="D42" s="12" t="s">
        <v>192</v>
      </c>
      <c r="E42" s="12" t="s">
        <v>193</v>
      </c>
      <c r="F42" s="11">
        <v>10.0</v>
      </c>
      <c r="G42" s="13">
        <f t="shared" si="1"/>
        <v>0</v>
      </c>
      <c r="H42" s="14">
        <f t="shared" si="5"/>
        <v>0</v>
      </c>
      <c r="I42" s="15" t="s">
        <v>27</v>
      </c>
      <c r="J42" s="25" t="s">
        <v>194</v>
      </c>
      <c r="K42" s="5" t="s">
        <v>59</v>
      </c>
      <c r="L42" s="17"/>
      <c r="M42" s="18" t="s">
        <v>60</v>
      </c>
      <c r="N42" s="5" t="s">
        <v>195</v>
      </c>
      <c r="O42" s="19">
        <v>46234.0</v>
      </c>
      <c r="P42" s="20"/>
      <c r="Q42" s="26">
        <v>10.0</v>
      </c>
      <c r="R42" s="26">
        <v>10.0</v>
      </c>
      <c r="S42" s="28"/>
      <c r="T42" s="21" t="str">
        <f t="shared" si="3"/>
        <v>1. GOVERNANÇA - Acessibilidade e inclusão de pessoas com deficiência - Projeto de uso de linguagem simples</v>
      </c>
      <c r="U42" s="22">
        <f t="shared" si="4"/>
        <v>10</v>
      </c>
      <c r="V42" s="23">
        <f>IFERROR(VLOOKUP(T42,'Parcial - Prestação de contas'!A:D,4, ),0)</f>
        <v>0</v>
      </c>
    </row>
    <row r="43">
      <c r="A43" s="10" t="s">
        <v>22</v>
      </c>
      <c r="B43" s="10" t="s">
        <v>196</v>
      </c>
      <c r="C43" s="11" t="s">
        <v>197</v>
      </c>
      <c r="D43" s="12" t="s">
        <v>198</v>
      </c>
      <c r="E43" s="12" t="s">
        <v>199</v>
      </c>
      <c r="F43" s="11">
        <v>10.0</v>
      </c>
      <c r="G43" s="13">
        <f t="shared" si="1"/>
        <v>0</v>
      </c>
      <c r="H43" s="14">
        <f t="shared" si="5"/>
        <v>0</v>
      </c>
      <c r="I43" s="15" t="s">
        <v>27</v>
      </c>
      <c r="J43" s="25" t="s">
        <v>94</v>
      </c>
      <c r="K43" s="5" t="s">
        <v>200</v>
      </c>
      <c r="L43" s="17"/>
      <c r="M43" s="18" t="s">
        <v>60</v>
      </c>
      <c r="N43" s="5" t="s">
        <v>77</v>
      </c>
      <c r="O43" s="19">
        <v>46234.0</v>
      </c>
      <c r="P43" s="20"/>
      <c r="Q43" s="26">
        <v>10.0</v>
      </c>
      <c r="R43" s="26">
        <v>10.0</v>
      </c>
      <c r="S43" s="28"/>
      <c r="T43" s="21" t="str">
        <f t="shared" si="3"/>
        <v>1. GOVERNANÇA - Política de Gestão da Inovação - Laboratório de Inovação</v>
      </c>
      <c r="U43" s="22">
        <f t="shared" si="4"/>
        <v>10</v>
      </c>
      <c r="V43" s="23">
        <f>IFERROR(VLOOKUP(T43,'Parcial - Prestação de contas'!A:D,4, ),0)</f>
        <v>0</v>
      </c>
    </row>
    <row r="44">
      <c r="A44" s="10" t="s">
        <v>22</v>
      </c>
      <c r="B44" s="10" t="s">
        <v>196</v>
      </c>
      <c r="C44" s="11" t="s">
        <v>201</v>
      </c>
      <c r="D44" s="12" t="s">
        <v>202</v>
      </c>
      <c r="E44" s="12" t="s">
        <v>203</v>
      </c>
      <c r="F44" s="11">
        <v>10.0</v>
      </c>
      <c r="G44" s="13">
        <f t="shared" si="1"/>
        <v>0</v>
      </c>
      <c r="H44" s="14">
        <f t="shared" si="5"/>
        <v>0</v>
      </c>
      <c r="I44" s="15" t="s">
        <v>27</v>
      </c>
      <c r="J44" s="25" t="s">
        <v>94</v>
      </c>
      <c r="K44" s="5" t="s">
        <v>200</v>
      </c>
      <c r="L44" s="17"/>
      <c r="M44" s="18" t="s">
        <v>60</v>
      </c>
      <c r="N44" s="5" t="s">
        <v>195</v>
      </c>
      <c r="O44" s="19">
        <v>46234.0</v>
      </c>
      <c r="P44" s="20"/>
      <c r="Q44" s="26">
        <v>10.0</v>
      </c>
      <c r="R44" s="26">
        <v>10.0</v>
      </c>
      <c r="S44" s="28"/>
      <c r="T44" s="21" t="str">
        <f t="shared" si="3"/>
        <v>1. GOVERNANÇA - Política de Gestão da Inovação - Projeto design thinking</v>
      </c>
      <c r="U44" s="22">
        <f t="shared" si="4"/>
        <v>10</v>
      </c>
      <c r="V44" s="23">
        <f>IFERROR(VLOOKUP(T44,'Parcial - Prestação de contas'!A:D,4, ),0)</f>
        <v>0</v>
      </c>
    </row>
    <row r="45">
      <c r="A45" s="10" t="s">
        <v>22</v>
      </c>
      <c r="B45" s="10" t="s">
        <v>204</v>
      </c>
      <c r="C45" s="11" t="s">
        <v>205</v>
      </c>
      <c r="D45" s="12" t="s">
        <v>206</v>
      </c>
      <c r="E45" s="12" t="s">
        <v>207</v>
      </c>
      <c r="F45" s="11">
        <v>10.0</v>
      </c>
      <c r="G45" s="13">
        <f t="shared" si="1"/>
        <v>0</v>
      </c>
      <c r="H45" s="14">
        <f t="shared" si="5"/>
        <v>0</v>
      </c>
      <c r="I45" s="15" t="s">
        <v>27</v>
      </c>
      <c r="J45" s="25" t="s">
        <v>68</v>
      </c>
      <c r="K45" s="5" t="s">
        <v>208</v>
      </c>
      <c r="L45" s="17"/>
      <c r="M45" s="18" t="s">
        <v>60</v>
      </c>
      <c r="N45" s="5" t="s">
        <v>195</v>
      </c>
      <c r="O45" s="19">
        <v>46234.0</v>
      </c>
      <c r="P45" s="20"/>
      <c r="Q45" s="26">
        <v>10.0</v>
      </c>
      <c r="R45" s="26">
        <v>10.0</v>
      </c>
      <c r="S45" s="28"/>
      <c r="T45" s="21" t="str">
        <f t="shared" si="3"/>
        <v>1. GOVERNANÇA - Núcleo de cooperação judiciária - Iniciativa promovida pelo núcleo</v>
      </c>
      <c r="U45" s="22">
        <f t="shared" si="4"/>
        <v>10</v>
      </c>
      <c r="V45" s="23">
        <f>IFERROR(VLOOKUP(T45,'Parcial - Prestação de contas'!A:D,4, ),0)</f>
        <v>0</v>
      </c>
    </row>
    <row r="46">
      <c r="A46" s="10" t="s">
        <v>22</v>
      </c>
      <c r="B46" s="10" t="s">
        <v>204</v>
      </c>
      <c r="C46" s="11" t="s">
        <v>209</v>
      </c>
      <c r="D46" s="12" t="s">
        <v>210</v>
      </c>
      <c r="E46" s="12" t="s">
        <v>211</v>
      </c>
      <c r="F46" s="11">
        <v>10.0</v>
      </c>
      <c r="G46" s="13">
        <f t="shared" si="1"/>
        <v>0</v>
      </c>
      <c r="H46" s="14">
        <f t="shared" si="5"/>
        <v>0</v>
      </c>
      <c r="I46" s="15" t="s">
        <v>27</v>
      </c>
      <c r="J46" s="25" t="s">
        <v>68</v>
      </c>
      <c r="K46" s="5" t="s">
        <v>208</v>
      </c>
      <c r="L46" s="17"/>
      <c r="M46" s="18" t="s">
        <v>60</v>
      </c>
      <c r="N46" s="5" t="s">
        <v>195</v>
      </c>
      <c r="O46" s="19">
        <v>46234.0</v>
      </c>
      <c r="P46" s="20"/>
      <c r="Q46" s="26">
        <v>10.0</v>
      </c>
      <c r="R46" s="26">
        <v>10.0</v>
      </c>
      <c r="S46" s="28"/>
      <c r="T46" s="21" t="str">
        <f t="shared" si="3"/>
        <v>1. GOVERNANÇA - Núcleo de cooperação judiciária - Iniciativa promovida pelo magistrado de cooperação</v>
      </c>
      <c r="U46" s="22">
        <f t="shared" si="4"/>
        <v>10</v>
      </c>
      <c r="V46" s="23">
        <f>IFERROR(VLOOKUP(T46,'Parcial - Prestação de contas'!A:D,4, ),0)</f>
        <v>0</v>
      </c>
    </row>
    <row r="47">
      <c r="A47" s="10" t="s">
        <v>22</v>
      </c>
      <c r="B47" s="10" t="s">
        <v>204</v>
      </c>
      <c r="C47" s="11" t="s">
        <v>212</v>
      </c>
      <c r="D47" s="12" t="s">
        <v>213</v>
      </c>
      <c r="E47" s="12" t="s">
        <v>214</v>
      </c>
      <c r="F47" s="11">
        <v>20.0</v>
      </c>
      <c r="G47" s="13">
        <f t="shared" si="1"/>
        <v>0</v>
      </c>
      <c r="H47" s="14">
        <f t="shared" si="5"/>
        <v>0</v>
      </c>
      <c r="I47" s="15" t="s">
        <v>27</v>
      </c>
      <c r="J47" s="25" t="s">
        <v>58</v>
      </c>
      <c r="K47" s="5" t="s">
        <v>88</v>
      </c>
      <c r="L47" s="17"/>
      <c r="M47" s="18" t="s">
        <v>60</v>
      </c>
      <c r="N47" s="5" t="s">
        <v>195</v>
      </c>
      <c r="O47" s="19">
        <v>46234.0</v>
      </c>
      <c r="P47" s="20"/>
      <c r="Q47" s="26">
        <v>20.0</v>
      </c>
      <c r="R47" s="26">
        <v>20.0</v>
      </c>
      <c r="S47" s="28"/>
      <c r="T47" s="21" t="str">
        <f t="shared" si="3"/>
        <v>1. GOVERNANÇA - Núcleo de cooperação judiciária - Capacitação - Direitos Humanos</v>
      </c>
      <c r="U47" s="22">
        <f t="shared" si="4"/>
        <v>20</v>
      </c>
      <c r="V47" s="23">
        <f>IFERROR(VLOOKUP(T47,'Parcial - Prestação de contas'!A:D,4, ),0)</f>
        <v>0</v>
      </c>
    </row>
    <row r="48">
      <c r="A48" s="10" t="s">
        <v>22</v>
      </c>
      <c r="B48" s="10" t="s">
        <v>215</v>
      </c>
      <c r="C48" s="11" t="s">
        <v>216</v>
      </c>
      <c r="D48" s="12" t="s">
        <v>217</v>
      </c>
      <c r="E48" s="12" t="s">
        <v>218</v>
      </c>
      <c r="F48" s="11">
        <v>20.0</v>
      </c>
      <c r="G48" s="13">
        <f t="shared" si="1"/>
        <v>0</v>
      </c>
      <c r="H48" s="14">
        <f t="shared" si="5"/>
        <v>0</v>
      </c>
      <c r="I48" s="15" t="s">
        <v>27</v>
      </c>
      <c r="J48" s="25" t="s">
        <v>58</v>
      </c>
      <c r="K48" s="5" t="s">
        <v>88</v>
      </c>
      <c r="L48" s="17"/>
      <c r="M48" s="18" t="s">
        <v>60</v>
      </c>
      <c r="N48" s="5" t="s">
        <v>195</v>
      </c>
      <c r="O48" s="19">
        <v>46234.0</v>
      </c>
      <c r="P48" s="20"/>
      <c r="Q48" s="26">
        <v>20.0</v>
      </c>
      <c r="R48" s="26">
        <v>20.0</v>
      </c>
      <c r="S48" s="28"/>
      <c r="T48" s="21" t="str">
        <f t="shared" si="3"/>
        <v>1. GOVERNANÇA - Capacitação de Magistrados e servidores - Capacitação - Depoimento Especial</v>
      </c>
      <c r="U48" s="22">
        <f t="shared" si="4"/>
        <v>20</v>
      </c>
      <c r="V48" s="23">
        <f>IFERROR(VLOOKUP(T48,'Parcial - Prestação de contas'!A:D,4, ),0)</f>
        <v>0</v>
      </c>
    </row>
    <row r="49">
      <c r="A49" s="10" t="s">
        <v>22</v>
      </c>
      <c r="B49" s="10" t="s">
        <v>215</v>
      </c>
      <c r="C49" s="11" t="s">
        <v>219</v>
      </c>
      <c r="D49" s="12" t="s">
        <v>220</v>
      </c>
      <c r="E49" s="12" t="s">
        <v>221</v>
      </c>
      <c r="F49" s="11">
        <v>10.0</v>
      </c>
      <c r="G49" s="13">
        <f t="shared" si="1"/>
        <v>0</v>
      </c>
      <c r="H49" s="14">
        <f t="shared" si="5"/>
        <v>0</v>
      </c>
      <c r="I49" s="15" t="s">
        <v>27</v>
      </c>
      <c r="J49" s="25" t="s">
        <v>58</v>
      </c>
      <c r="K49" s="5" t="s">
        <v>88</v>
      </c>
      <c r="L49" s="17"/>
      <c r="M49" s="18" t="s">
        <v>60</v>
      </c>
      <c r="N49" s="5" t="s">
        <v>195</v>
      </c>
      <c r="O49" s="19">
        <v>46234.0</v>
      </c>
      <c r="P49" s="20"/>
      <c r="Q49" s="26">
        <v>10.0</v>
      </c>
      <c r="R49" s="26">
        <v>10.0</v>
      </c>
      <c r="S49" s="28"/>
      <c r="T49" s="21" t="str">
        <f t="shared" si="3"/>
        <v>1. GOVERNANÇA - Capacitação de Magistrados e servidores - Capacitação - reflexão e sensibilização de autores de violência doméstica</v>
      </c>
      <c r="U49" s="22">
        <f t="shared" si="4"/>
        <v>10</v>
      </c>
      <c r="V49" s="23">
        <f>IFERROR(VLOOKUP(T49,'Parcial - Prestação de contas'!A:D,4, ),0)</f>
        <v>0</v>
      </c>
    </row>
    <row r="50">
      <c r="A50" s="10" t="s">
        <v>22</v>
      </c>
      <c r="B50" s="10" t="s">
        <v>222</v>
      </c>
      <c r="C50" s="11" t="s">
        <v>223</v>
      </c>
      <c r="D50" s="12" t="s">
        <v>222</v>
      </c>
      <c r="E50" s="12" t="s">
        <v>224</v>
      </c>
      <c r="F50" s="11">
        <v>20.0</v>
      </c>
      <c r="G50" s="13">
        <f t="shared" si="1"/>
        <v>0</v>
      </c>
      <c r="H50" s="14">
        <f t="shared" si="5"/>
        <v>0</v>
      </c>
      <c r="I50" s="15" t="s">
        <v>27</v>
      </c>
      <c r="J50" s="25" t="s">
        <v>51</v>
      </c>
      <c r="K50" s="5" t="s">
        <v>158</v>
      </c>
      <c r="L50" s="17"/>
      <c r="M50" s="18" t="s">
        <v>60</v>
      </c>
      <c r="N50" s="5" t="s">
        <v>195</v>
      </c>
      <c r="O50" s="19">
        <v>46234.0</v>
      </c>
      <c r="P50" s="20"/>
      <c r="Q50" s="26">
        <v>20.0</v>
      </c>
      <c r="R50" s="26">
        <v>20.0</v>
      </c>
      <c r="S50" s="28"/>
      <c r="T50" s="21" t="str">
        <f t="shared" si="3"/>
        <v>1. GOVERNANÇA - Estruturação de juizados de violência doméstica e familiar</v>
      </c>
      <c r="U50" s="22">
        <f t="shared" si="4"/>
        <v>20</v>
      </c>
      <c r="V50" s="23">
        <f>IFERROR(VLOOKUP(T50,'Parcial - Prestação de contas'!A:D,4, ),0)</f>
        <v>0</v>
      </c>
    </row>
    <row r="51">
      <c r="A51" s="10" t="s">
        <v>22</v>
      </c>
      <c r="B51" s="10" t="s">
        <v>225</v>
      </c>
      <c r="C51" s="11" t="s">
        <v>226</v>
      </c>
      <c r="D51" s="12" t="s">
        <v>227</v>
      </c>
      <c r="E51" s="12" t="s">
        <v>228</v>
      </c>
      <c r="F51" s="11">
        <v>20.0</v>
      </c>
      <c r="G51" s="13">
        <f t="shared" si="1"/>
        <v>0</v>
      </c>
      <c r="H51" s="14">
        <f t="shared" si="5"/>
        <v>0</v>
      </c>
      <c r="I51" s="15" t="s">
        <v>27</v>
      </c>
      <c r="J51" s="25" t="s">
        <v>28</v>
      </c>
      <c r="K51" s="5" t="s">
        <v>229</v>
      </c>
      <c r="L51" s="17"/>
      <c r="M51" s="18" t="s">
        <v>60</v>
      </c>
      <c r="N51" s="5" t="s">
        <v>195</v>
      </c>
      <c r="O51" s="19">
        <v>46234.0</v>
      </c>
      <c r="P51" s="20"/>
      <c r="Q51" s="26">
        <v>20.0</v>
      </c>
      <c r="R51" s="26">
        <v>10.0</v>
      </c>
      <c r="S51" s="28"/>
      <c r="T51" s="21" t="str">
        <f t="shared" si="3"/>
        <v>1. GOVERNANÇA - Grupos vulnerabilizados - Resolução 497/2023 - Contratação de grupos vulneráveis</v>
      </c>
      <c r="U51" s="22">
        <f t="shared" si="4"/>
        <v>20</v>
      </c>
      <c r="V51" s="23">
        <f>IFERROR(VLOOKUP(T51,'Parcial - Prestação de contas'!A:D,4, ),0)</f>
        <v>0</v>
      </c>
    </row>
    <row r="52">
      <c r="A52" s="10" t="s">
        <v>22</v>
      </c>
      <c r="B52" s="10" t="s">
        <v>230</v>
      </c>
      <c r="C52" s="11" t="s">
        <v>231</v>
      </c>
      <c r="D52" s="12" t="s">
        <v>232</v>
      </c>
      <c r="E52" s="12" t="s">
        <v>233</v>
      </c>
      <c r="F52" s="11">
        <v>10.0</v>
      </c>
      <c r="G52" s="13">
        <f t="shared" si="1"/>
        <v>0</v>
      </c>
      <c r="H52" s="14">
        <f t="shared" si="5"/>
        <v>0</v>
      </c>
      <c r="I52" s="15" t="s">
        <v>27</v>
      </c>
      <c r="J52" s="25" t="s">
        <v>75</v>
      </c>
      <c r="K52" s="5" t="s">
        <v>208</v>
      </c>
      <c r="L52" s="17"/>
      <c r="M52" s="18" t="s">
        <v>60</v>
      </c>
      <c r="N52" s="5" t="s">
        <v>77</v>
      </c>
      <c r="O52" s="19">
        <v>46234.0</v>
      </c>
      <c r="P52" s="20"/>
      <c r="Q52" s="26">
        <v>10.0</v>
      </c>
      <c r="R52" s="26">
        <v>0.0</v>
      </c>
      <c r="S52" s="28"/>
      <c r="T52" s="21" t="str">
        <f t="shared" si="3"/>
        <v>1. GOVERNANÇA - Aposentadoria - Programa de Preparação à Aposentadoria (PPA)</v>
      </c>
      <c r="U52" s="22">
        <f t="shared" si="4"/>
        <v>10</v>
      </c>
      <c r="V52" s="23">
        <f>IFERROR(VLOOKUP(T52,'Parcial - Prestação de contas'!A:D,4, ),0)</f>
        <v>0</v>
      </c>
    </row>
    <row r="53">
      <c r="A53" s="10" t="s">
        <v>22</v>
      </c>
      <c r="B53" s="10" t="s">
        <v>234</v>
      </c>
      <c r="C53" s="11" t="s">
        <v>235</v>
      </c>
      <c r="D53" s="12" t="s">
        <v>236</v>
      </c>
      <c r="E53" s="12" t="s">
        <v>237</v>
      </c>
      <c r="F53" s="11">
        <v>10.0</v>
      </c>
      <c r="G53" s="13">
        <f t="shared" si="1"/>
        <v>0</v>
      </c>
      <c r="H53" s="14">
        <f t="shared" si="5"/>
        <v>0</v>
      </c>
      <c r="I53" s="15" t="s">
        <v>27</v>
      </c>
      <c r="J53" s="25" t="s">
        <v>238</v>
      </c>
      <c r="K53" s="5" t="s">
        <v>239</v>
      </c>
      <c r="L53" s="17"/>
      <c r="M53" s="18" t="s">
        <v>60</v>
      </c>
      <c r="N53" s="5" t="s">
        <v>77</v>
      </c>
      <c r="O53" s="19">
        <v>46234.0</v>
      </c>
      <c r="P53" s="20"/>
      <c r="Q53" s="26">
        <v>10.0</v>
      </c>
      <c r="R53" s="26">
        <v>10.0</v>
      </c>
      <c r="S53" s="28"/>
      <c r="T53" s="21" t="str">
        <f t="shared" si="3"/>
        <v>1. GOVERNANÇA - Protocolo Enfrentamento à Violência Doméstica Praticada em Face de Magistradas e Servidoras - Programa de prevenção</v>
      </c>
      <c r="U53" s="22">
        <f t="shared" si="4"/>
        <v>10</v>
      </c>
      <c r="V53" s="23">
        <f>IFERROR(VLOOKUP(T53,'Parcial - Prestação de contas'!A:D,4, ),0)</f>
        <v>0</v>
      </c>
    </row>
    <row r="54">
      <c r="A54" s="10" t="s">
        <v>22</v>
      </c>
      <c r="B54" s="10" t="s">
        <v>234</v>
      </c>
      <c r="C54" s="11" t="s">
        <v>240</v>
      </c>
      <c r="D54" s="12" t="s">
        <v>106</v>
      </c>
      <c r="E54" s="12" t="s">
        <v>241</v>
      </c>
      <c r="F54" s="11">
        <v>5.0</v>
      </c>
      <c r="G54" s="13">
        <f t="shared" si="1"/>
        <v>0</v>
      </c>
      <c r="H54" s="14">
        <f t="shared" si="5"/>
        <v>0</v>
      </c>
      <c r="I54" s="15" t="s">
        <v>27</v>
      </c>
      <c r="J54" s="25" t="s">
        <v>238</v>
      </c>
      <c r="K54" s="5" t="s">
        <v>239</v>
      </c>
      <c r="L54" s="17"/>
      <c r="M54" s="18" t="s">
        <v>60</v>
      </c>
      <c r="N54" s="5" t="s">
        <v>195</v>
      </c>
      <c r="O54" s="19">
        <v>46234.0</v>
      </c>
      <c r="P54" s="20"/>
      <c r="Q54" s="26">
        <v>5.0</v>
      </c>
      <c r="R54" s="26">
        <v>5.0</v>
      </c>
      <c r="S54" s="28"/>
      <c r="T54" s="21" t="str">
        <f t="shared" si="3"/>
        <v>1. GOVERNANÇA - Protocolo Enfrentamento à Violência Doméstica Praticada em Face de Magistradas e Servidoras - Campanha de orientação</v>
      </c>
      <c r="U54" s="22">
        <f t="shared" si="4"/>
        <v>5</v>
      </c>
      <c r="V54" s="23">
        <f>IFERROR(VLOOKUP(T54,'Parcial - Prestação de contas'!A:D,4, ),0)</f>
        <v>0</v>
      </c>
    </row>
    <row r="55">
      <c r="A55" s="10" t="s">
        <v>22</v>
      </c>
      <c r="B55" s="10" t="s">
        <v>234</v>
      </c>
      <c r="C55" s="11" t="s">
        <v>242</v>
      </c>
      <c r="D55" s="12" t="s">
        <v>243</v>
      </c>
      <c r="E55" s="12" t="s">
        <v>244</v>
      </c>
      <c r="F55" s="11">
        <v>5.0</v>
      </c>
      <c r="G55" s="13">
        <f t="shared" si="1"/>
        <v>0</v>
      </c>
      <c r="H55" s="14">
        <f t="shared" si="5"/>
        <v>0</v>
      </c>
      <c r="I55" s="15" t="s">
        <v>27</v>
      </c>
      <c r="J55" s="25" t="s">
        <v>238</v>
      </c>
      <c r="K55" s="5" t="s">
        <v>239</v>
      </c>
      <c r="L55" s="17"/>
      <c r="M55" s="18" t="s">
        <v>60</v>
      </c>
      <c r="N55" s="5" t="s">
        <v>195</v>
      </c>
      <c r="O55" s="19">
        <v>46234.0</v>
      </c>
      <c r="P55" s="20"/>
      <c r="Q55" s="26">
        <v>5.0</v>
      </c>
      <c r="R55" s="26">
        <v>5.0</v>
      </c>
      <c r="S55" s="28"/>
      <c r="T55" s="21" t="str">
        <f t="shared" si="3"/>
        <v>1. GOVERNANÇA - Protocolo Enfrentamento à Violência Doméstica Praticada em Face de Magistradas e Servidoras - Evento Anual</v>
      </c>
      <c r="U55" s="22">
        <f t="shared" si="4"/>
        <v>5</v>
      </c>
      <c r="V55" s="23">
        <f>IFERROR(VLOOKUP(T55,'Parcial - Prestação de contas'!A:D,4, ),0)</f>
        <v>0</v>
      </c>
    </row>
    <row r="56">
      <c r="A56" s="10" t="s">
        <v>22</v>
      </c>
      <c r="B56" s="10" t="s">
        <v>245</v>
      </c>
      <c r="C56" s="11" t="s">
        <v>246</v>
      </c>
      <c r="D56" s="12" t="s">
        <v>247</v>
      </c>
      <c r="E56" s="12" t="s">
        <v>248</v>
      </c>
      <c r="F56" s="11">
        <v>20.0</v>
      </c>
      <c r="G56" s="13">
        <f t="shared" si="1"/>
        <v>0</v>
      </c>
      <c r="H56" s="14">
        <f t="shared" si="5"/>
        <v>0</v>
      </c>
      <c r="I56" s="15" t="s">
        <v>27</v>
      </c>
      <c r="J56" s="25" t="s">
        <v>249</v>
      </c>
      <c r="K56" s="5" t="s">
        <v>250</v>
      </c>
      <c r="L56" s="17"/>
      <c r="M56" s="18" t="s">
        <v>60</v>
      </c>
      <c r="N56" s="5" t="s">
        <v>77</v>
      </c>
      <c r="O56" s="19">
        <v>46234.0</v>
      </c>
      <c r="P56" s="20"/>
      <c r="Q56" s="26">
        <v>20.0</v>
      </c>
      <c r="R56" s="26">
        <v>20.0</v>
      </c>
      <c r="S56" s="28"/>
      <c r="T56" s="21" t="str">
        <f t="shared" si="3"/>
        <v>1. GOVERNANÇA - Política Judiciária Nacional para a Primeira Infância - Plano de Ação - Comitê de Primeira Infância</v>
      </c>
      <c r="U56" s="22">
        <f t="shared" si="4"/>
        <v>20</v>
      </c>
      <c r="V56" s="23">
        <f>IFERROR(VLOOKUP(T56,'Parcial - Prestação de contas'!A:D,4, ),0)</f>
        <v>0</v>
      </c>
    </row>
    <row r="57">
      <c r="A57" s="10" t="s">
        <v>22</v>
      </c>
      <c r="B57" s="10" t="s">
        <v>245</v>
      </c>
      <c r="C57" s="11" t="s">
        <v>251</v>
      </c>
      <c r="D57" s="12" t="s">
        <v>222</v>
      </c>
      <c r="E57" s="12" t="s">
        <v>224</v>
      </c>
      <c r="F57" s="11">
        <v>20.0</v>
      </c>
      <c r="G57" s="13">
        <f t="shared" si="1"/>
        <v>0</v>
      </c>
      <c r="H57" s="14">
        <f t="shared" si="5"/>
        <v>0</v>
      </c>
      <c r="I57" s="15" t="s">
        <v>27</v>
      </c>
      <c r="J57" s="25" t="s">
        <v>51</v>
      </c>
      <c r="K57" s="5" t="s">
        <v>158</v>
      </c>
      <c r="L57" s="17"/>
      <c r="M57" s="18" t="s">
        <v>60</v>
      </c>
      <c r="N57" s="5" t="s">
        <v>195</v>
      </c>
      <c r="O57" s="19">
        <v>46234.0</v>
      </c>
      <c r="P57" s="20"/>
      <c r="Q57" s="26">
        <v>20.0</v>
      </c>
      <c r="R57" s="26">
        <v>20.0</v>
      </c>
      <c r="S57" s="28"/>
      <c r="T57" s="21" t="str">
        <f t="shared" si="3"/>
        <v>1. GOVERNANÇA - Política Judiciária Nacional para a Primeira Infância - Estruturação de juizados de violência doméstica e familiar</v>
      </c>
      <c r="U57" s="22">
        <f t="shared" si="4"/>
        <v>20</v>
      </c>
      <c r="V57" s="23">
        <f>IFERROR(VLOOKUP(T57,'Parcial - Prestação de contas'!A:D,4, ),0)</f>
        <v>0</v>
      </c>
    </row>
    <row r="58">
      <c r="A58" s="10" t="s">
        <v>22</v>
      </c>
      <c r="B58" s="10" t="s">
        <v>252</v>
      </c>
      <c r="C58" s="11" t="s">
        <v>253</v>
      </c>
      <c r="D58" s="12" t="s">
        <v>254</v>
      </c>
      <c r="E58" s="12" t="s">
        <v>255</v>
      </c>
      <c r="F58" s="11">
        <v>20.0</v>
      </c>
      <c r="G58" s="13">
        <f t="shared" si="1"/>
        <v>0</v>
      </c>
      <c r="H58" s="14">
        <f t="shared" si="5"/>
        <v>0</v>
      </c>
      <c r="I58" s="15" t="s">
        <v>27</v>
      </c>
      <c r="J58" s="25" t="s">
        <v>256</v>
      </c>
      <c r="K58" s="5" t="s">
        <v>100</v>
      </c>
      <c r="L58" s="17"/>
      <c r="M58" s="18" t="s">
        <v>257</v>
      </c>
      <c r="N58" s="5" t="s">
        <v>70</v>
      </c>
      <c r="O58" s="27">
        <v>46022.0</v>
      </c>
      <c r="P58" s="20"/>
      <c r="Q58" s="26">
        <v>12.4</v>
      </c>
      <c r="R58" s="26"/>
      <c r="S58" s="28"/>
      <c r="T58" s="21" t="str">
        <f t="shared" si="3"/>
        <v>1. GOVERNANÇA - IPER - Índice de Promoção de Equidade Racial</v>
      </c>
      <c r="U58" s="22">
        <f t="shared" si="4"/>
        <v>20</v>
      </c>
      <c r="V58" s="23">
        <f>IFERROR(VLOOKUP(T58,'Parcial - Prestação de contas'!A:D,4, ),0)</f>
        <v>0</v>
      </c>
    </row>
    <row r="59">
      <c r="A59" s="33" t="s">
        <v>258</v>
      </c>
      <c r="B59" s="10" t="s">
        <v>259</v>
      </c>
      <c r="C59" s="11" t="s">
        <v>260</v>
      </c>
      <c r="D59" s="10" t="s">
        <v>259</v>
      </c>
      <c r="E59" s="12" t="s">
        <v>261</v>
      </c>
      <c r="F59" s="11">
        <v>90.0</v>
      </c>
      <c r="G59" s="13">
        <f t="shared" si="1"/>
        <v>0</v>
      </c>
      <c r="H59" s="14">
        <f t="shared" si="5"/>
        <v>0</v>
      </c>
      <c r="I59" s="15" t="s">
        <v>262</v>
      </c>
      <c r="J59" s="16" t="s">
        <v>27</v>
      </c>
      <c r="K59" s="5" t="s">
        <v>139</v>
      </c>
      <c r="L59" s="18" t="s">
        <v>140</v>
      </c>
      <c r="M59" s="18" t="s">
        <v>263</v>
      </c>
      <c r="N59" s="5" t="s">
        <v>70</v>
      </c>
      <c r="O59" s="27">
        <v>46022.0</v>
      </c>
      <c r="P59" s="20"/>
      <c r="Q59" s="26">
        <v>0.0</v>
      </c>
      <c r="R59" s="26">
        <v>30.0</v>
      </c>
      <c r="S59" s="26" t="s">
        <v>32</v>
      </c>
      <c r="T59" s="21" t="str">
        <f t="shared" si="3"/>
        <v>2. PRODUTIVIDADE - Melhores índices no IPC-Jus</v>
      </c>
      <c r="U59" s="22">
        <f t="shared" si="4"/>
        <v>90</v>
      </c>
      <c r="V59" s="23">
        <f>IFERROR(VLOOKUP(T59,'Parcial - Prestação de contas'!A:D,4, ),0)</f>
        <v>0</v>
      </c>
    </row>
    <row r="60">
      <c r="A60" s="10" t="s">
        <v>258</v>
      </c>
      <c r="B60" s="10" t="s">
        <v>264</v>
      </c>
      <c r="C60" s="11" t="s">
        <v>265</v>
      </c>
      <c r="D60" s="12" t="s">
        <v>266</v>
      </c>
      <c r="E60" s="12" t="s">
        <v>267</v>
      </c>
      <c r="F60" s="11">
        <v>50.0</v>
      </c>
      <c r="G60" s="13">
        <f t="shared" si="1"/>
        <v>35</v>
      </c>
      <c r="H60" s="14">
        <f t="shared" si="5"/>
        <v>0.7</v>
      </c>
      <c r="I60" s="15" t="s">
        <v>262</v>
      </c>
      <c r="J60" s="16" t="s">
        <v>27</v>
      </c>
      <c r="K60" s="5" t="s">
        <v>139</v>
      </c>
      <c r="L60" s="18" t="s">
        <v>140</v>
      </c>
      <c r="M60" s="18" t="s">
        <v>263</v>
      </c>
      <c r="N60" s="5" t="s">
        <v>195</v>
      </c>
      <c r="O60" s="19">
        <v>46234.0</v>
      </c>
      <c r="P60" s="20"/>
      <c r="Q60" s="26">
        <v>0.0</v>
      </c>
      <c r="R60" s="26">
        <v>50.0</v>
      </c>
      <c r="S60" s="26" t="s">
        <v>32</v>
      </c>
      <c r="T60" s="21" t="str">
        <f t="shared" si="3"/>
        <v>2. PRODUTIVIDADE - Redução da Taxa de Congestionamento Líquida - Taxa de Congestionamento Líquida</v>
      </c>
      <c r="U60" s="22">
        <f t="shared" si="4"/>
        <v>50</v>
      </c>
      <c r="V60" s="23">
        <f>IFERROR(VLOOKUP(T60,'Parcial - Prestação de contas'!A:D,4, ),0)</f>
        <v>35</v>
      </c>
    </row>
    <row r="61">
      <c r="A61" s="10" t="s">
        <v>258</v>
      </c>
      <c r="B61" s="10" t="s">
        <v>268</v>
      </c>
      <c r="C61" s="11" t="s">
        <v>269</v>
      </c>
      <c r="D61" s="12" t="s">
        <v>268</v>
      </c>
      <c r="E61" s="12" t="s">
        <v>270</v>
      </c>
      <c r="F61" s="11">
        <v>50.0</v>
      </c>
      <c r="G61" s="13">
        <f t="shared" si="1"/>
        <v>0</v>
      </c>
      <c r="H61" s="14">
        <f t="shared" si="5"/>
        <v>0</v>
      </c>
      <c r="I61" s="15" t="s">
        <v>262</v>
      </c>
      <c r="J61" s="16" t="s">
        <v>27</v>
      </c>
      <c r="K61" s="5" t="s">
        <v>139</v>
      </c>
      <c r="L61" s="18" t="s">
        <v>140</v>
      </c>
      <c r="M61" s="18" t="s">
        <v>263</v>
      </c>
      <c r="N61" s="5" t="s">
        <v>77</v>
      </c>
      <c r="O61" s="19">
        <v>46234.0</v>
      </c>
      <c r="P61" s="20"/>
      <c r="Q61" s="26">
        <v>35.0</v>
      </c>
      <c r="R61" s="26">
        <v>35.0</v>
      </c>
      <c r="S61" s="26" t="s">
        <v>32</v>
      </c>
      <c r="T61" s="21" t="str">
        <f t="shared" si="3"/>
        <v>2. PRODUTIVIDADE - Tempo Médio</v>
      </c>
      <c r="U61" s="22">
        <f t="shared" si="4"/>
        <v>50</v>
      </c>
      <c r="V61" s="23">
        <f>IFERROR(VLOOKUP(T61,'Parcial - Prestação de contas'!A:D,4, ),0)</f>
        <v>0</v>
      </c>
    </row>
    <row r="62">
      <c r="A62" s="10" t="s">
        <v>258</v>
      </c>
      <c r="B62" s="10" t="s">
        <v>271</v>
      </c>
      <c r="C62" s="11" t="s">
        <v>272</v>
      </c>
      <c r="D62" s="12" t="s">
        <v>273</v>
      </c>
      <c r="E62" s="12" t="s">
        <v>274</v>
      </c>
      <c r="F62" s="11">
        <v>10.0</v>
      </c>
      <c r="G62" s="13">
        <f t="shared" si="1"/>
        <v>0</v>
      </c>
      <c r="H62" s="14">
        <f t="shared" si="5"/>
        <v>0</v>
      </c>
      <c r="I62" s="15" t="s">
        <v>262</v>
      </c>
      <c r="J62" s="25" t="s">
        <v>275</v>
      </c>
      <c r="K62" s="5" t="s">
        <v>139</v>
      </c>
      <c r="L62" s="18" t="s">
        <v>140</v>
      </c>
      <c r="M62" s="18" t="s">
        <v>276</v>
      </c>
      <c r="N62" s="5" t="s">
        <v>195</v>
      </c>
      <c r="O62" s="19">
        <v>46234.0</v>
      </c>
      <c r="P62" s="20"/>
      <c r="Q62" s="26">
        <v>10.0</v>
      </c>
      <c r="R62" s="26">
        <v>10.0</v>
      </c>
      <c r="S62" s="26" t="s">
        <v>32</v>
      </c>
      <c r="T62" s="21" t="str">
        <f t="shared" si="3"/>
        <v>2. PRODUTIVIDADE - Índices de Conciliação - 1º grau</v>
      </c>
      <c r="U62" s="22">
        <f t="shared" si="4"/>
        <v>10</v>
      </c>
      <c r="V62" s="23">
        <f>IFERROR(VLOOKUP(T62,'Parcial - Prestação de contas'!A:D,4, ),0)</f>
        <v>0</v>
      </c>
    </row>
    <row r="63">
      <c r="A63" s="10" t="s">
        <v>258</v>
      </c>
      <c r="B63" s="10" t="s">
        <v>271</v>
      </c>
      <c r="C63" s="11" t="s">
        <v>277</v>
      </c>
      <c r="D63" s="12" t="s">
        <v>278</v>
      </c>
      <c r="E63" s="12" t="s">
        <v>279</v>
      </c>
      <c r="F63" s="11">
        <v>10.0</v>
      </c>
      <c r="G63" s="13">
        <f t="shared" si="1"/>
        <v>0</v>
      </c>
      <c r="H63" s="14">
        <f t="shared" si="5"/>
        <v>0</v>
      </c>
      <c r="I63" s="15" t="s">
        <v>262</v>
      </c>
      <c r="J63" s="25" t="s">
        <v>275</v>
      </c>
      <c r="K63" s="5" t="s">
        <v>139</v>
      </c>
      <c r="L63" s="18" t="s">
        <v>140</v>
      </c>
      <c r="M63" s="18" t="s">
        <v>276</v>
      </c>
      <c r="N63" s="5" t="s">
        <v>195</v>
      </c>
      <c r="O63" s="19">
        <v>46234.0</v>
      </c>
      <c r="P63" s="20"/>
      <c r="Q63" s="26">
        <v>0.0</v>
      </c>
      <c r="R63" s="26"/>
      <c r="S63" s="26" t="s">
        <v>32</v>
      </c>
      <c r="T63" s="21" t="str">
        <f t="shared" si="3"/>
        <v>2. PRODUTIVIDADE - Índices de Conciliação - juizados especiais</v>
      </c>
      <c r="U63" s="22">
        <f t="shared" si="4"/>
        <v>10</v>
      </c>
      <c r="V63" s="23">
        <f>IFERROR(VLOOKUP(T63,'Parcial - Prestação de contas'!A:D,4, ),0)</f>
        <v>0</v>
      </c>
    </row>
    <row r="64">
      <c r="A64" s="10" t="s">
        <v>258</v>
      </c>
      <c r="B64" s="10" t="s">
        <v>271</v>
      </c>
      <c r="C64" s="11" t="s">
        <v>280</v>
      </c>
      <c r="D64" s="12" t="s">
        <v>281</v>
      </c>
      <c r="E64" s="12" t="s">
        <v>282</v>
      </c>
      <c r="F64" s="11">
        <v>10.0</v>
      </c>
      <c r="G64" s="13">
        <f t="shared" si="1"/>
        <v>0</v>
      </c>
      <c r="H64" s="14">
        <f t="shared" si="5"/>
        <v>0</v>
      </c>
      <c r="I64" s="15" t="s">
        <v>262</v>
      </c>
      <c r="J64" s="25" t="s">
        <v>275</v>
      </c>
      <c r="K64" s="5" t="s">
        <v>139</v>
      </c>
      <c r="L64" s="18" t="s">
        <v>140</v>
      </c>
      <c r="M64" s="18" t="s">
        <v>276</v>
      </c>
      <c r="N64" s="5" t="s">
        <v>195</v>
      </c>
      <c r="O64" s="19">
        <v>46234.0</v>
      </c>
      <c r="P64" s="20"/>
      <c r="Q64" s="26">
        <v>0.0</v>
      </c>
      <c r="R64" s="26">
        <v>0.0</v>
      </c>
      <c r="S64" s="26" t="s">
        <v>32</v>
      </c>
      <c r="T64" s="21" t="str">
        <f t="shared" si="3"/>
        <v>2. PRODUTIVIDADE - Índices de Conciliação - 2º grau</v>
      </c>
      <c r="U64" s="22">
        <f t="shared" si="4"/>
        <v>10</v>
      </c>
      <c r="V64" s="23">
        <f>IFERROR(VLOOKUP(T64,'Parcial - Prestação de contas'!A:D,4, ),0)</f>
        <v>0</v>
      </c>
    </row>
    <row r="65">
      <c r="A65" s="10" t="s">
        <v>258</v>
      </c>
      <c r="B65" s="10" t="s">
        <v>271</v>
      </c>
      <c r="C65" s="11" t="s">
        <v>283</v>
      </c>
      <c r="D65" s="12" t="s">
        <v>284</v>
      </c>
      <c r="E65" s="12" t="s">
        <v>285</v>
      </c>
      <c r="F65" s="11">
        <v>10.0</v>
      </c>
      <c r="G65" s="13">
        <f t="shared" si="1"/>
        <v>0</v>
      </c>
      <c r="H65" s="14">
        <f t="shared" si="5"/>
        <v>0</v>
      </c>
      <c r="I65" s="15" t="s">
        <v>262</v>
      </c>
      <c r="J65" s="25" t="s">
        <v>275</v>
      </c>
      <c r="K65" s="5" t="s">
        <v>139</v>
      </c>
      <c r="L65" s="18" t="s">
        <v>140</v>
      </c>
      <c r="M65" s="18" t="s">
        <v>276</v>
      </c>
      <c r="N65" s="5" t="s">
        <v>195</v>
      </c>
      <c r="O65" s="19">
        <v>46234.0</v>
      </c>
      <c r="P65" s="20"/>
      <c r="Q65" s="26">
        <v>10.0</v>
      </c>
      <c r="R65" s="26">
        <v>10.0</v>
      </c>
      <c r="S65" s="26" t="s">
        <v>32</v>
      </c>
      <c r="T65" s="21" t="str">
        <f t="shared" si="3"/>
        <v>2. PRODUTIVIDADE - Índices de Conciliação - execução extrajudicial não fiscais</v>
      </c>
      <c r="U65" s="22">
        <f t="shared" si="4"/>
        <v>10</v>
      </c>
      <c r="V65" s="23">
        <f>IFERROR(VLOOKUP(T65,'Parcial - Prestação de contas'!A:D,4, ),0)</f>
        <v>0</v>
      </c>
    </row>
    <row r="66">
      <c r="A66" s="10" t="s">
        <v>258</v>
      </c>
      <c r="B66" s="10" t="s">
        <v>271</v>
      </c>
      <c r="C66" s="11" t="s">
        <v>286</v>
      </c>
      <c r="D66" s="12" t="s">
        <v>287</v>
      </c>
      <c r="E66" s="12" t="s">
        <v>288</v>
      </c>
      <c r="F66" s="11">
        <v>10.0</v>
      </c>
      <c r="G66" s="13">
        <f t="shared" si="1"/>
        <v>0</v>
      </c>
      <c r="H66" s="14">
        <f t="shared" si="5"/>
        <v>0</v>
      </c>
      <c r="I66" s="15" t="s">
        <v>262</v>
      </c>
      <c r="J66" s="25" t="s">
        <v>275</v>
      </c>
      <c r="K66" s="5" t="s">
        <v>139</v>
      </c>
      <c r="L66" s="18" t="s">
        <v>140</v>
      </c>
      <c r="M66" s="18" t="s">
        <v>276</v>
      </c>
      <c r="N66" s="5" t="s">
        <v>195</v>
      </c>
      <c r="O66" s="19">
        <v>46234.0</v>
      </c>
      <c r="P66" s="20"/>
      <c r="Q66" s="26">
        <v>0.0</v>
      </c>
      <c r="R66" s="26">
        <v>0.0</v>
      </c>
      <c r="S66" s="26" t="s">
        <v>32</v>
      </c>
      <c r="T66" s="21" t="str">
        <f t="shared" si="3"/>
        <v>2. PRODUTIVIDADE - Índices de Conciliação - execução não criminal</v>
      </c>
      <c r="U66" s="22">
        <f t="shared" si="4"/>
        <v>10</v>
      </c>
      <c r="V66" s="23">
        <f>IFERROR(VLOOKUP(T66,'Parcial - Prestação de contas'!A:D,4, ),0)</f>
        <v>0</v>
      </c>
    </row>
    <row r="67">
      <c r="A67" s="10" t="s">
        <v>258</v>
      </c>
      <c r="B67" s="33" t="s">
        <v>289</v>
      </c>
      <c r="C67" s="11" t="s">
        <v>290</v>
      </c>
      <c r="D67" s="12" t="s">
        <v>291</v>
      </c>
      <c r="E67" s="12" t="s">
        <v>291</v>
      </c>
      <c r="F67" s="11">
        <v>20.0</v>
      </c>
      <c r="G67" s="13">
        <f t="shared" si="1"/>
        <v>20</v>
      </c>
      <c r="H67" s="14">
        <f t="shared" si="5"/>
        <v>1</v>
      </c>
      <c r="I67" s="15" t="s">
        <v>262</v>
      </c>
      <c r="J67" s="25" t="s">
        <v>262</v>
      </c>
      <c r="K67" s="5" t="s">
        <v>139</v>
      </c>
      <c r="L67" s="17"/>
      <c r="M67" s="18" t="s">
        <v>263</v>
      </c>
      <c r="N67" s="5" t="s">
        <v>70</v>
      </c>
      <c r="O67" s="27">
        <v>46022.0</v>
      </c>
      <c r="P67" s="20"/>
      <c r="Q67" s="26">
        <v>20.0</v>
      </c>
      <c r="R67" s="26">
        <v>20.0</v>
      </c>
      <c r="S67" s="26" t="s">
        <v>32</v>
      </c>
      <c r="T67" s="21" t="str">
        <f t="shared" si="3"/>
        <v>2. PRODUTIVIDADE - Cumprimento das Metas Nacionais - Meta 1</v>
      </c>
      <c r="U67" s="22">
        <f t="shared" si="4"/>
        <v>20</v>
      </c>
      <c r="V67" s="23">
        <f>IFERROR(VLOOKUP(T67,'Parcial - Prestação de contas'!A:D,4, ),0)</f>
        <v>20</v>
      </c>
    </row>
    <row r="68">
      <c r="A68" s="10" t="s">
        <v>258</v>
      </c>
      <c r="B68" s="10" t="s">
        <v>289</v>
      </c>
      <c r="C68" s="11" t="s">
        <v>292</v>
      </c>
      <c r="D68" s="12" t="s">
        <v>293</v>
      </c>
      <c r="E68" s="12" t="s">
        <v>293</v>
      </c>
      <c r="F68" s="11">
        <v>20.0</v>
      </c>
      <c r="G68" s="13">
        <f t="shared" si="1"/>
        <v>0</v>
      </c>
      <c r="H68" s="14">
        <f t="shared" si="5"/>
        <v>0</v>
      </c>
      <c r="I68" s="15" t="s">
        <v>262</v>
      </c>
      <c r="J68" s="25" t="s">
        <v>262</v>
      </c>
      <c r="K68" s="5" t="s">
        <v>139</v>
      </c>
      <c r="L68" s="17"/>
      <c r="M68" s="18" t="s">
        <v>263</v>
      </c>
      <c r="N68" s="5" t="s">
        <v>70</v>
      </c>
      <c r="O68" s="27">
        <v>46022.0</v>
      </c>
      <c r="P68" s="20"/>
      <c r="Q68" s="26">
        <v>20.0</v>
      </c>
      <c r="R68" s="26">
        <v>20.0</v>
      </c>
      <c r="S68" s="26" t="s">
        <v>32</v>
      </c>
      <c r="T68" s="21" t="str">
        <f t="shared" si="3"/>
        <v>2. PRODUTIVIDADE - Cumprimento das Metas Nacionais - Meta 2</v>
      </c>
      <c r="U68" s="22">
        <f t="shared" si="4"/>
        <v>20</v>
      </c>
      <c r="V68" s="23">
        <f>IFERROR(VLOOKUP(T68,'Parcial - Prestação de contas'!A:D,4, ),0)</f>
        <v>0</v>
      </c>
    </row>
    <row r="69">
      <c r="A69" s="10" t="s">
        <v>258</v>
      </c>
      <c r="B69" s="10" t="s">
        <v>289</v>
      </c>
      <c r="C69" s="11" t="s">
        <v>292</v>
      </c>
      <c r="D69" s="12" t="s">
        <v>294</v>
      </c>
      <c r="E69" s="12" t="s">
        <v>294</v>
      </c>
      <c r="F69" s="11">
        <v>20.0</v>
      </c>
      <c r="G69" s="13">
        <f t="shared" si="1"/>
        <v>0</v>
      </c>
      <c r="H69" s="14">
        <f t="shared" si="5"/>
        <v>0</v>
      </c>
      <c r="I69" s="15" t="s">
        <v>262</v>
      </c>
      <c r="J69" s="25" t="s">
        <v>275</v>
      </c>
      <c r="K69" s="5" t="s">
        <v>139</v>
      </c>
      <c r="L69" s="17"/>
      <c r="M69" s="18" t="s">
        <v>263</v>
      </c>
      <c r="N69" s="5" t="s">
        <v>70</v>
      </c>
      <c r="O69" s="27">
        <v>46022.0</v>
      </c>
      <c r="P69" s="20"/>
      <c r="Q69" s="26">
        <v>20.0</v>
      </c>
      <c r="R69" s="26">
        <v>10.0</v>
      </c>
      <c r="S69" s="26" t="s">
        <v>32</v>
      </c>
      <c r="T69" s="21" t="str">
        <f t="shared" si="3"/>
        <v>2. PRODUTIVIDADE - Cumprimento das Metas Nacionais - Meta 3</v>
      </c>
      <c r="U69" s="22">
        <f t="shared" si="4"/>
        <v>20</v>
      </c>
      <c r="V69" s="23">
        <f>IFERROR(VLOOKUP(T69,'Parcial - Prestação de contas'!A:D,4, ),0)</f>
        <v>0</v>
      </c>
    </row>
    <row r="70">
      <c r="A70" s="10" t="s">
        <v>258</v>
      </c>
      <c r="B70" s="10" t="s">
        <v>289</v>
      </c>
      <c r="C70" s="11" t="s">
        <v>295</v>
      </c>
      <c r="D70" s="12" t="s">
        <v>296</v>
      </c>
      <c r="E70" s="12" t="s">
        <v>296</v>
      </c>
      <c r="F70" s="11">
        <v>10.0</v>
      </c>
      <c r="G70" s="13">
        <f t="shared" si="1"/>
        <v>0</v>
      </c>
      <c r="H70" s="14">
        <f t="shared" si="5"/>
        <v>0</v>
      </c>
      <c r="I70" s="15" t="s">
        <v>262</v>
      </c>
      <c r="J70" s="16" t="s">
        <v>256</v>
      </c>
      <c r="K70" s="5" t="s">
        <v>139</v>
      </c>
      <c r="L70" s="17"/>
      <c r="M70" s="18" t="s">
        <v>263</v>
      </c>
      <c r="N70" s="5" t="s">
        <v>70</v>
      </c>
      <c r="O70" s="27">
        <v>46022.0</v>
      </c>
      <c r="P70" s="20"/>
      <c r="Q70" s="26">
        <v>10.0</v>
      </c>
      <c r="R70" s="26">
        <v>10.0</v>
      </c>
      <c r="S70" s="26" t="s">
        <v>32</v>
      </c>
      <c r="T70" s="21" t="str">
        <f t="shared" si="3"/>
        <v>2. PRODUTIVIDADE - Cumprimento das Metas Nacionais - Meta 4</v>
      </c>
      <c r="U70" s="22">
        <f t="shared" si="4"/>
        <v>10</v>
      </c>
      <c r="V70" s="23">
        <f>IFERROR(VLOOKUP(T70,'Parcial - Prestação de contas'!A:D,4, ),0)</f>
        <v>0</v>
      </c>
    </row>
    <row r="71">
      <c r="A71" s="10" t="s">
        <v>258</v>
      </c>
      <c r="B71" s="10" t="s">
        <v>289</v>
      </c>
      <c r="C71" s="11" t="s">
        <v>295</v>
      </c>
      <c r="D71" s="12" t="s">
        <v>297</v>
      </c>
      <c r="E71" s="12" t="s">
        <v>297</v>
      </c>
      <c r="F71" s="11">
        <v>10.0</v>
      </c>
      <c r="G71" s="13">
        <f t="shared" si="1"/>
        <v>0</v>
      </c>
      <c r="H71" s="14">
        <f t="shared" si="5"/>
        <v>0</v>
      </c>
      <c r="I71" s="15" t="s">
        <v>262</v>
      </c>
      <c r="J71" s="16" t="s">
        <v>27</v>
      </c>
      <c r="K71" s="5" t="s">
        <v>139</v>
      </c>
      <c r="L71" s="17"/>
      <c r="M71" s="18" t="s">
        <v>263</v>
      </c>
      <c r="N71" s="5" t="s">
        <v>70</v>
      </c>
      <c r="O71" s="27">
        <v>46022.0</v>
      </c>
      <c r="P71" s="20"/>
      <c r="Q71" s="26">
        <v>10.0</v>
      </c>
      <c r="R71" s="26">
        <v>10.0</v>
      </c>
      <c r="S71" s="26" t="s">
        <v>32</v>
      </c>
      <c r="T71" s="21" t="str">
        <f t="shared" si="3"/>
        <v>2. PRODUTIVIDADE - Cumprimento das Metas Nacionais - Meta 5</v>
      </c>
      <c r="U71" s="22">
        <f t="shared" si="4"/>
        <v>10</v>
      </c>
      <c r="V71" s="23">
        <f>IFERROR(VLOOKUP(T71,'Parcial - Prestação de contas'!A:D,4, ),0)</f>
        <v>0</v>
      </c>
    </row>
    <row r="72">
      <c r="A72" s="10" t="s">
        <v>258</v>
      </c>
      <c r="B72" s="10" t="s">
        <v>289</v>
      </c>
      <c r="C72" s="11" t="s">
        <v>295</v>
      </c>
      <c r="D72" s="12" t="s">
        <v>298</v>
      </c>
      <c r="E72" s="12" t="s">
        <v>298</v>
      </c>
      <c r="F72" s="11">
        <v>0.0</v>
      </c>
      <c r="G72" s="13">
        <f t="shared" si="1"/>
        <v>0</v>
      </c>
      <c r="H72" s="14">
        <f t="shared" si="5"/>
        <v>0</v>
      </c>
      <c r="I72" s="15" t="s">
        <v>262</v>
      </c>
      <c r="J72" s="25" t="s">
        <v>299</v>
      </c>
      <c r="K72" s="5" t="s">
        <v>139</v>
      </c>
      <c r="L72" s="17"/>
      <c r="M72" s="18" t="s">
        <v>263</v>
      </c>
      <c r="N72" s="5" t="s">
        <v>70</v>
      </c>
      <c r="O72" s="27">
        <v>46022.0</v>
      </c>
      <c r="P72" s="20"/>
      <c r="Q72" s="28"/>
      <c r="R72" s="26"/>
      <c r="S72" s="26" t="s">
        <v>32</v>
      </c>
      <c r="T72" s="21" t="str">
        <f t="shared" si="3"/>
        <v>2. PRODUTIVIDADE - Cumprimento das Metas Nacionais - Meta 6</v>
      </c>
      <c r="U72" s="22">
        <f t="shared" si="4"/>
        <v>0</v>
      </c>
      <c r="V72" s="23">
        <f>IFERROR(VLOOKUP(T72,'Parcial - Prestação de contas'!A:D,4, ),0)</f>
        <v>0</v>
      </c>
    </row>
    <row r="73">
      <c r="A73" s="10" t="s">
        <v>258</v>
      </c>
      <c r="B73" s="10" t="s">
        <v>289</v>
      </c>
      <c r="C73" s="11" t="s">
        <v>295</v>
      </c>
      <c r="D73" s="12" t="s">
        <v>300</v>
      </c>
      <c r="E73" s="12" t="s">
        <v>300</v>
      </c>
      <c r="F73" s="11">
        <v>10.0</v>
      </c>
      <c r="G73" s="13">
        <f t="shared" si="1"/>
        <v>0</v>
      </c>
      <c r="H73" s="14">
        <f t="shared" si="5"/>
        <v>0</v>
      </c>
      <c r="I73" s="15" t="s">
        <v>262</v>
      </c>
      <c r="J73" s="25" t="s">
        <v>238</v>
      </c>
      <c r="K73" s="5" t="s">
        <v>139</v>
      </c>
      <c r="L73" s="17"/>
      <c r="M73" s="18" t="s">
        <v>263</v>
      </c>
      <c r="N73" s="5" t="s">
        <v>70</v>
      </c>
      <c r="O73" s="27">
        <v>46022.0</v>
      </c>
      <c r="P73" s="20"/>
      <c r="Q73" s="26">
        <v>10.0</v>
      </c>
      <c r="R73" s="26">
        <v>10.0</v>
      </c>
      <c r="S73" s="26" t="s">
        <v>32</v>
      </c>
      <c r="T73" s="21" t="str">
        <f t="shared" si="3"/>
        <v>2. PRODUTIVIDADE - Cumprimento das Metas Nacionais - Meta 8</v>
      </c>
      <c r="U73" s="22">
        <f t="shared" si="4"/>
        <v>10</v>
      </c>
      <c r="V73" s="23">
        <f>IFERROR(VLOOKUP(T73,'Parcial - Prestação de contas'!A:D,4, ),0)</f>
        <v>0</v>
      </c>
    </row>
    <row r="74">
      <c r="A74" s="10" t="s">
        <v>258</v>
      </c>
      <c r="B74" s="10" t="s">
        <v>289</v>
      </c>
      <c r="C74" s="11" t="s">
        <v>295</v>
      </c>
      <c r="D74" s="12" t="s">
        <v>301</v>
      </c>
      <c r="E74" s="12" t="s">
        <v>301</v>
      </c>
      <c r="F74" s="11">
        <v>10.0</v>
      </c>
      <c r="G74" s="13">
        <f t="shared" si="1"/>
        <v>0</v>
      </c>
      <c r="H74" s="14">
        <f t="shared" si="5"/>
        <v>0</v>
      </c>
      <c r="I74" s="15" t="s">
        <v>262</v>
      </c>
      <c r="J74" s="25" t="s">
        <v>178</v>
      </c>
      <c r="K74" s="5" t="s">
        <v>139</v>
      </c>
      <c r="L74" s="17"/>
      <c r="M74" s="18" t="s">
        <v>263</v>
      </c>
      <c r="N74" s="5" t="s">
        <v>70</v>
      </c>
      <c r="O74" s="27">
        <v>46022.0</v>
      </c>
      <c r="P74" s="20"/>
      <c r="Q74" s="26">
        <v>10.0</v>
      </c>
      <c r="R74" s="26">
        <v>10.0</v>
      </c>
      <c r="S74" s="26" t="s">
        <v>32</v>
      </c>
      <c r="T74" s="21" t="str">
        <f t="shared" si="3"/>
        <v>2. PRODUTIVIDADE - Cumprimento das Metas Nacionais - Meta 10</v>
      </c>
      <c r="U74" s="22">
        <f t="shared" si="4"/>
        <v>10</v>
      </c>
      <c r="V74" s="23">
        <f>IFERROR(VLOOKUP(T74,'Parcial - Prestação de contas'!A:D,4, ),0)</f>
        <v>0</v>
      </c>
    </row>
    <row r="75">
      <c r="A75" s="10" t="s">
        <v>258</v>
      </c>
      <c r="B75" s="10" t="s">
        <v>289</v>
      </c>
      <c r="C75" s="11" t="s">
        <v>295</v>
      </c>
      <c r="D75" s="12" t="s">
        <v>302</v>
      </c>
      <c r="E75" s="12" t="s">
        <v>302</v>
      </c>
      <c r="F75" s="11">
        <v>10.0</v>
      </c>
      <c r="G75" s="13">
        <f t="shared" si="1"/>
        <v>0</v>
      </c>
      <c r="H75" s="14">
        <f t="shared" si="5"/>
        <v>0</v>
      </c>
      <c r="I75" s="15" t="s">
        <v>262</v>
      </c>
      <c r="J75" s="25" t="s">
        <v>249</v>
      </c>
      <c r="K75" s="5" t="s">
        <v>139</v>
      </c>
      <c r="L75" s="17"/>
      <c r="M75" s="18" t="s">
        <v>263</v>
      </c>
      <c r="N75" s="5" t="s">
        <v>70</v>
      </c>
      <c r="O75" s="27">
        <v>46022.0</v>
      </c>
      <c r="P75" s="20"/>
      <c r="Q75" s="26">
        <v>5.0</v>
      </c>
      <c r="R75" s="26">
        <v>10.0</v>
      </c>
      <c r="S75" s="26" t="s">
        <v>32</v>
      </c>
      <c r="T75" s="21" t="str">
        <f t="shared" si="3"/>
        <v>2. PRODUTIVIDADE - Cumprimento das Metas Nacionais - Meta 11</v>
      </c>
      <c r="U75" s="22">
        <f t="shared" si="4"/>
        <v>10</v>
      </c>
      <c r="V75" s="23">
        <f>IFERROR(VLOOKUP(T75,'Parcial - Prestação de contas'!A:D,4, ),0)</f>
        <v>0</v>
      </c>
    </row>
    <row r="76">
      <c r="A76" s="10" t="s">
        <v>258</v>
      </c>
      <c r="B76" s="10" t="s">
        <v>289</v>
      </c>
      <c r="C76" s="11" t="s">
        <v>303</v>
      </c>
      <c r="D76" s="12" t="s">
        <v>304</v>
      </c>
      <c r="E76" s="12" t="s">
        <v>304</v>
      </c>
      <c r="F76" s="11">
        <v>10.0</v>
      </c>
      <c r="G76" s="13">
        <f t="shared" si="1"/>
        <v>0</v>
      </c>
      <c r="H76" s="14">
        <f t="shared" si="5"/>
        <v>0</v>
      </c>
      <c r="I76" s="15" t="s">
        <v>262</v>
      </c>
      <c r="J76" s="25" t="s">
        <v>194</v>
      </c>
      <c r="K76" s="5" t="s">
        <v>200</v>
      </c>
      <c r="L76" s="17"/>
      <c r="M76" s="18" t="s">
        <v>60</v>
      </c>
      <c r="N76" s="5" t="s">
        <v>70</v>
      </c>
      <c r="O76" s="27">
        <v>46022.0</v>
      </c>
      <c r="P76" s="20"/>
      <c r="Q76" s="26">
        <v>10.0</v>
      </c>
      <c r="R76" s="26">
        <v>0.0</v>
      </c>
      <c r="S76" s="26"/>
      <c r="T76" s="21" t="str">
        <f t="shared" si="3"/>
        <v>2. PRODUTIVIDADE - Cumprimento das Metas Nacionais - Meta 9</v>
      </c>
      <c r="U76" s="22">
        <f t="shared" si="4"/>
        <v>10</v>
      </c>
      <c r="V76" s="23">
        <f>IFERROR(VLOOKUP(T76,'Parcial - Prestação de contas'!A:D,4, ),0)</f>
        <v>0</v>
      </c>
    </row>
    <row r="77">
      <c r="A77" s="10" t="s">
        <v>258</v>
      </c>
      <c r="B77" s="10" t="s">
        <v>305</v>
      </c>
      <c r="C77" s="29" t="s">
        <v>306</v>
      </c>
      <c r="D77" s="12" t="s">
        <v>305</v>
      </c>
      <c r="E77" s="12" t="s">
        <v>307</v>
      </c>
      <c r="F77" s="11">
        <v>50.0</v>
      </c>
      <c r="G77" s="13">
        <f t="shared" si="1"/>
        <v>0</v>
      </c>
      <c r="H77" s="14">
        <f t="shared" si="5"/>
        <v>0</v>
      </c>
      <c r="I77" s="15" t="s">
        <v>262</v>
      </c>
      <c r="J77" s="25" t="s">
        <v>27</v>
      </c>
      <c r="K77" s="5" t="s">
        <v>139</v>
      </c>
      <c r="L77" s="18" t="s">
        <v>140</v>
      </c>
      <c r="M77" s="18" t="s">
        <v>263</v>
      </c>
      <c r="N77" s="5" t="s">
        <v>77</v>
      </c>
      <c r="O77" s="19">
        <v>46234.0</v>
      </c>
      <c r="P77" s="20"/>
      <c r="Q77" s="26">
        <v>50.0</v>
      </c>
      <c r="R77" s="26">
        <v>25.0</v>
      </c>
      <c r="S77" s="26" t="s">
        <v>32</v>
      </c>
      <c r="T77" s="21" t="str">
        <f t="shared" si="3"/>
        <v>2. PRODUTIVIDADE - Julgar processos antigos</v>
      </c>
      <c r="U77" s="22">
        <f t="shared" si="4"/>
        <v>50</v>
      </c>
      <c r="V77" s="23">
        <f>IFERROR(VLOOKUP(T77,'Parcial - Prestação de contas'!A:D,4, ),0)</f>
        <v>0</v>
      </c>
    </row>
    <row r="78">
      <c r="A78" s="10" t="s">
        <v>258</v>
      </c>
      <c r="B78" s="10" t="s">
        <v>308</v>
      </c>
      <c r="C78" s="11" t="s">
        <v>309</v>
      </c>
      <c r="D78" s="12" t="s">
        <v>310</v>
      </c>
      <c r="E78" s="12" t="s">
        <v>311</v>
      </c>
      <c r="F78" s="11">
        <v>20.0</v>
      </c>
      <c r="G78" s="13">
        <f t="shared" si="1"/>
        <v>0</v>
      </c>
      <c r="H78" s="14">
        <f t="shared" si="5"/>
        <v>0</v>
      </c>
      <c r="I78" s="15" t="s">
        <v>262</v>
      </c>
      <c r="J78" s="25" t="s">
        <v>238</v>
      </c>
      <c r="K78" s="5" t="s">
        <v>139</v>
      </c>
      <c r="L78" s="18" t="s">
        <v>140</v>
      </c>
      <c r="M78" s="18" t="s">
        <v>276</v>
      </c>
      <c r="N78" s="5" t="s">
        <v>77</v>
      </c>
      <c r="O78" s="19">
        <v>46234.0</v>
      </c>
      <c r="P78" s="20"/>
      <c r="Q78" s="26">
        <v>20.0</v>
      </c>
      <c r="R78" s="26">
        <v>10.0</v>
      </c>
      <c r="S78" s="26" t="s">
        <v>32</v>
      </c>
      <c r="T78" s="21" t="str">
        <f t="shared" si="3"/>
        <v>2. PRODUTIVIDADE - Julgar Violência contra a Mulher - Tempo Médio - Feminicídio</v>
      </c>
      <c r="U78" s="22">
        <f t="shared" si="4"/>
        <v>20</v>
      </c>
      <c r="V78" s="23">
        <f>IFERROR(VLOOKUP(T78,'Parcial - Prestação de contas'!A:D,4, ),0)</f>
        <v>0</v>
      </c>
    </row>
    <row r="79">
      <c r="A79" s="10" t="s">
        <v>258</v>
      </c>
      <c r="B79" s="34" t="s">
        <v>308</v>
      </c>
      <c r="C79" s="11" t="s">
        <v>312</v>
      </c>
      <c r="D79" s="12" t="s">
        <v>313</v>
      </c>
      <c r="E79" s="12" t="s">
        <v>314</v>
      </c>
      <c r="F79" s="11">
        <v>20.0</v>
      </c>
      <c r="G79" s="13">
        <f t="shared" si="1"/>
        <v>0</v>
      </c>
      <c r="H79" s="14">
        <f t="shared" si="5"/>
        <v>0</v>
      </c>
      <c r="I79" s="15" t="s">
        <v>262</v>
      </c>
      <c r="J79" s="25" t="s">
        <v>238</v>
      </c>
      <c r="K79" s="5" t="s">
        <v>139</v>
      </c>
      <c r="L79" s="18" t="s">
        <v>140</v>
      </c>
      <c r="M79" s="18" t="s">
        <v>276</v>
      </c>
      <c r="N79" s="5" t="s">
        <v>77</v>
      </c>
      <c r="O79" s="19">
        <v>46234.0</v>
      </c>
      <c r="P79" s="20"/>
      <c r="Q79" s="26">
        <v>10.0</v>
      </c>
      <c r="R79" s="26">
        <v>0.0</v>
      </c>
      <c r="S79" s="26" t="s">
        <v>32</v>
      </c>
      <c r="T79" s="21" t="str">
        <f t="shared" si="3"/>
        <v>2. PRODUTIVIDADE - Julgar Violência contra a Mulher - Tempo médio - VD</v>
      </c>
      <c r="U79" s="22">
        <f t="shared" si="4"/>
        <v>20</v>
      </c>
      <c r="V79" s="23">
        <f>IFERROR(VLOOKUP(T79,'Parcial - Prestação de contas'!A:D,4, ),0)</f>
        <v>0</v>
      </c>
    </row>
    <row r="80">
      <c r="A80" s="10" t="s">
        <v>258</v>
      </c>
      <c r="B80" s="10" t="s">
        <v>308</v>
      </c>
      <c r="C80" s="11" t="s">
        <v>315</v>
      </c>
      <c r="D80" s="12" t="s">
        <v>316</v>
      </c>
      <c r="E80" s="12" t="s">
        <v>317</v>
      </c>
      <c r="F80" s="11">
        <v>20.0</v>
      </c>
      <c r="G80" s="13">
        <f t="shared" si="1"/>
        <v>0</v>
      </c>
      <c r="H80" s="14">
        <f t="shared" si="5"/>
        <v>0</v>
      </c>
      <c r="I80" s="15" t="s">
        <v>262</v>
      </c>
      <c r="J80" s="25" t="s">
        <v>238</v>
      </c>
      <c r="K80" s="5" t="s">
        <v>139</v>
      </c>
      <c r="L80" s="18" t="s">
        <v>140</v>
      </c>
      <c r="M80" s="18" t="s">
        <v>276</v>
      </c>
      <c r="N80" s="5" t="s">
        <v>195</v>
      </c>
      <c r="O80" s="19">
        <v>46234.0</v>
      </c>
      <c r="P80" s="20"/>
      <c r="Q80" s="26">
        <v>20.0</v>
      </c>
      <c r="R80" s="26">
        <v>20.0</v>
      </c>
      <c r="S80" s="26" t="s">
        <v>32</v>
      </c>
      <c r="T80" s="21" t="str">
        <f t="shared" si="3"/>
        <v>2. PRODUTIVIDADE - Julgar Violência contra a Mulher - Tempo Médio - Medida Protetiva</v>
      </c>
      <c r="U80" s="22">
        <f t="shared" si="4"/>
        <v>20</v>
      </c>
      <c r="V80" s="23">
        <f>IFERROR(VLOOKUP(T80,'Parcial - Prestação de contas'!A:D,4, ),0)</f>
        <v>0</v>
      </c>
    </row>
    <row r="81">
      <c r="A81" s="10" t="s">
        <v>258</v>
      </c>
      <c r="B81" s="34" t="s">
        <v>71</v>
      </c>
      <c r="C81" s="11" t="s">
        <v>318</v>
      </c>
      <c r="D81" s="12" t="s">
        <v>268</v>
      </c>
      <c r="E81" s="12" t="s">
        <v>319</v>
      </c>
      <c r="F81" s="11">
        <v>20.0</v>
      </c>
      <c r="G81" s="13">
        <f t="shared" si="1"/>
        <v>0</v>
      </c>
      <c r="H81" s="14">
        <f t="shared" si="5"/>
        <v>0</v>
      </c>
      <c r="I81" s="15" t="s">
        <v>262</v>
      </c>
      <c r="J81" s="25" t="s">
        <v>75</v>
      </c>
      <c r="K81" s="5" t="s">
        <v>139</v>
      </c>
      <c r="L81" s="18" t="s">
        <v>140</v>
      </c>
      <c r="M81" s="18" t="s">
        <v>276</v>
      </c>
      <c r="N81" s="5" t="s">
        <v>77</v>
      </c>
      <c r="O81" s="19">
        <v>46234.0</v>
      </c>
      <c r="P81" s="20"/>
      <c r="Q81" s="26">
        <v>10.0</v>
      </c>
      <c r="R81" s="26">
        <v>10.0</v>
      </c>
      <c r="S81" s="26" t="s">
        <v>32</v>
      </c>
      <c r="T81" s="21" t="str">
        <f t="shared" si="3"/>
        <v>2. PRODUTIVIDADE - Judicialização da Saúde - Tempo Médio</v>
      </c>
      <c r="U81" s="22">
        <f t="shared" si="4"/>
        <v>20</v>
      </c>
      <c r="V81" s="23">
        <f>IFERROR(VLOOKUP(T81,'Parcial - Prestação de contas'!A:D,4, ),0)</f>
        <v>0</v>
      </c>
    </row>
    <row r="82">
      <c r="A82" s="10" t="s">
        <v>258</v>
      </c>
      <c r="B82" s="12" t="s">
        <v>320</v>
      </c>
      <c r="C82" s="11" t="s">
        <v>321</v>
      </c>
      <c r="D82" s="12" t="s">
        <v>322</v>
      </c>
      <c r="E82" s="12" t="s">
        <v>322</v>
      </c>
      <c r="F82" s="11">
        <v>20.0</v>
      </c>
      <c r="G82" s="13">
        <f t="shared" si="1"/>
        <v>0</v>
      </c>
      <c r="H82" s="14">
        <f t="shared" si="5"/>
        <v>0</v>
      </c>
      <c r="I82" s="15" t="s">
        <v>262</v>
      </c>
      <c r="J82" s="25" t="s">
        <v>323</v>
      </c>
      <c r="K82" s="5" t="s">
        <v>324</v>
      </c>
      <c r="L82" s="18" t="s">
        <v>140</v>
      </c>
      <c r="M82" s="18" t="s">
        <v>325</v>
      </c>
      <c r="N82" s="5" t="s">
        <v>326</v>
      </c>
      <c r="O82" s="19">
        <v>46234.0</v>
      </c>
      <c r="P82" s="20"/>
      <c r="Q82" s="26">
        <v>0.0</v>
      </c>
      <c r="R82" s="26">
        <v>10.0</v>
      </c>
      <c r="S82" s="26" t="s">
        <v>32</v>
      </c>
      <c r="T82" s="21" t="str">
        <f t="shared" si="3"/>
        <v>2. PRODUTIVIDADE - Adoção e acolhimento - Reavaliação de acolhimento</v>
      </c>
      <c r="U82" s="22">
        <f t="shared" si="4"/>
        <v>20</v>
      </c>
      <c r="V82" s="23">
        <f>IFERROR(VLOOKUP(T82,'Parcial - Prestação de contas'!A:D,4, ),0)</f>
        <v>0</v>
      </c>
    </row>
    <row r="83">
      <c r="A83" s="10" t="s">
        <v>258</v>
      </c>
      <c r="B83" s="12" t="s">
        <v>320</v>
      </c>
      <c r="C83" s="11" t="s">
        <v>327</v>
      </c>
      <c r="D83" s="12" t="s">
        <v>328</v>
      </c>
      <c r="E83" s="12" t="s">
        <v>329</v>
      </c>
      <c r="F83" s="11">
        <v>10.0</v>
      </c>
      <c r="G83" s="13">
        <f t="shared" si="1"/>
        <v>0</v>
      </c>
      <c r="H83" s="14">
        <f t="shared" si="5"/>
        <v>0</v>
      </c>
      <c r="I83" s="15" t="s">
        <v>262</v>
      </c>
      <c r="J83" s="25" t="s">
        <v>323</v>
      </c>
      <c r="K83" s="5" t="s">
        <v>324</v>
      </c>
      <c r="L83" s="18" t="s">
        <v>140</v>
      </c>
      <c r="M83" s="18" t="s">
        <v>325</v>
      </c>
      <c r="N83" s="5" t="s">
        <v>77</v>
      </c>
      <c r="O83" s="19">
        <v>46234.0</v>
      </c>
      <c r="P83" s="20"/>
      <c r="Q83" s="26">
        <v>0.0</v>
      </c>
      <c r="R83" s="26">
        <v>10.0</v>
      </c>
      <c r="S83" s="26" t="s">
        <v>32</v>
      </c>
      <c r="T83" s="21" t="str">
        <f t="shared" si="3"/>
        <v>2. PRODUTIVIDADE - Adoção e acolhimento - Tempo Médio - Adoção</v>
      </c>
      <c r="U83" s="22">
        <f t="shared" si="4"/>
        <v>10</v>
      </c>
      <c r="V83" s="23">
        <f>IFERROR(VLOOKUP(T83,'Parcial - Prestação de contas'!A:D,4, ),0)</f>
        <v>0</v>
      </c>
    </row>
    <row r="84">
      <c r="A84" s="10" t="s">
        <v>258</v>
      </c>
      <c r="B84" s="12" t="s">
        <v>320</v>
      </c>
      <c r="C84" s="11" t="s">
        <v>330</v>
      </c>
      <c r="D84" s="12" t="s">
        <v>331</v>
      </c>
      <c r="E84" s="12" t="s">
        <v>332</v>
      </c>
      <c r="F84" s="11">
        <v>10.0</v>
      </c>
      <c r="G84" s="13">
        <f t="shared" si="1"/>
        <v>0</v>
      </c>
      <c r="H84" s="14">
        <f t="shared" si="5"/>
        <v>0</v>
      </c>
      <c r="I84" s="15" t="s">
        <v>262</v>
      </c>
      <c r="J84" s="25" t="s">
        <v>323</v>
      </c>
      <c r="K84" s="5" t="s">
        <v>324</v>
      </c>
      <c r="L84" s="18" t="s">
        <v>140</v>
      </c>
      <c r="M84" s="18" t="s">
        <v>325</v>
      </c>
      <c r="N84" s="5" t="s">
        <v>77</v>
      </c>
      <c r="O84" s="19">
        <v>46234.0</v>
      </c>
      <c r="P84" s="20"/>
      <c r="Q84" s="26">
        <v>0.0</v>
      </c>
      <c r="R84" s="26">
        <v>0.0</v>
      </c>
      <c r="S84" s="26" t="s">
        <v>32</v>
      </c>
      <c r="T84" s="21" t="str">
        <f t="shared" si="3"/>
        <v>2. PRODUTIVIDADE - Adoção e acolhimento - Tempo Médio - Destituição do poder familiar</v>
      </c>
      <c r="U84" s="22">
        <f t="shared" si="4"/>
        <v>10</v>
      </c>
      <c r="V84" s="23">
        <f>IFERROR(VLOOKUP(T84,'Parcial - Prestação de contas'!A:D,4, ),0)</f>
        <v>0</v>
      </c>
    </row>
    <row r="85">
      <c r="A85" s="10" t="s">
        <v>258</v>
      </c>
      <c r="B85" s="10" t="s">
        <v>320</v>
      </c>
      <c r="C85" s="11" t="s">
        <v>333</v>
      </c>
      <c r="D85" s="12" t="s">
        <v>334</v>
      </c>
      <c r="E85" s="12" t="s">
        <v>335</v>
      </c>
      <c r="F85" s="11">
        <v>20.0</v>
      </c>
      <c r="G85" s="13">
        <f t="shared" si="1"/>
        <v>0</v>
      </c>
      <c r="H85" s="14">
        <f t="shared" si="5"/>
        <v>0</v>
      </c>
      <c r="I85" s="15" t="s">
        <v>262</v>
      </c>
      <c r="J85" s="25" t="s">
        <v>323</v>
      </c>
      <c r="K85" s="5" t="s">
        <v>324</v>
      </c>
      <c r="L85" s="18" t="s">
        <v>140</v>
      </c>
      <c r="M85" s="18" t="s">
        <v>325</v>
      </c>
      <c r="N85" s="5" t="s">
        <v>336</v>
      </c>
      <c r="O85" s="19">
        <v>46234.0</v>
      </c>
      <c r="P85" s="20"/>
      <c r="Q85" s="26">
        <v>20.0</v>
      </c>
      <c r="R85" s="26">
        <v>20.0</v>
      </c>
      <c r="S85" s="26" t="s">
        <v>32</v>
      </c>
      <c r="T85" s="21" t="str">
        <f t="shared" si="3"/>
        <v>2. PRODUTIVIDADE - Adoção e acolhimento - CPF cadastrado das crianças acolhidas</v>
      </c>
      <c r="U85" s="22">
        <f t="shared" si="4"/>
        <v>20</v>
      </c>
      <c r="V85" s="23">
        <f>IFERROR(VLOOKUP(T85,'Parcial - Prestação de contas'!A:D,4, ),0)</f>
        <v>0</v>
      </c>
    </row>
    <row r="86">
      <c r="A86" s="10" t="s">
        <v>258</v>
      </c>
      <c r="B86" s="35" t="s">
        <v>337</v>
      </c>
      <c r="C86" s="11" t="s">
        <v>338</v>
      </c>
      <c r="D86" s="12" t="s">
        <v>339</v>
      </c>
      <c r="E86" s="12" t="s">
        <v>340</v>
      </c>
      <c r="F86" s="11">
        <v>20.0</v>
      </c>
      <c r="G86" s="13">
        <f t="shared" si="1"/>
        <v>0</v>
      </c>
      <c r="H86" s="14">
        <f t="shared" si="5"/>
        <v>0</v>
      </c>
      <c r="I86" s="15" t="s">
        <v>262</v>
      </c>
      <c r="J86" s="25" t="s">
        <v>341</v>
      </c>
      <c r="K86" s="5" t="s">
        <v>139</v>
      </c>
      <c r="L86" s="17"/>
      <c r="M86" s="18" t="s">
        <v>276</v>
      </c>
      <c r="N86" s="5" t="s">
        <v>77</v>
      </c>
      <c r="O86" s="19">
        <v>46234.0</v>
      </c>
      <c r="P86" s="20"/>
      <c r="Q86" s="26">
        <v>10.0</v>
      </c>
      <c r="R86" s="26">
        <v>0.0</v>
      </c>
      <c r="S86" s="26" t="s">
        <v>32</v>
      </c>
      <c r="T86" s="21" t="str">
        <f t="shared" si="3"/>
        <v>2. PRODUTIVIDADE - Ações Penais (geral e júri) - Tempo Médio Ação Penal</v>
      </c>
      <c r="U86" s="22">
        <f t="shared" si="4"/>
        <v>20</v>
      </c>
      <c r="V86" s="23">
        <f>IFERROR(VLOOKUP(T86,'Parcial - Prestação de contas'!A:D,4, ),0)</f>
        <v>0</v>
      </c>
    </row>
    <row r="87">
      <c r="A87" s="10" t="s">
        <v>258</v>
      </c>
      <c r="B87" s="34" t="s">
        <v>337</v>
      </c>
      <c r="C87" s="11" t="s">
        <v>342</v>
      </c>
      <c r="D87" s="12" t="s">
        <v>343</v>
      </c>
      <c r="E87" s="12" t="s">
        <v>344</v>
      </c>
      <c r="F87" s="11">
        <v>20.0</v>
      </c>
      <c r="G87" s="13">
        <f t="shared" si="1"/>
        <v>0</v>
      </c>
      <c r="H87" s="14">
        <f t="shared" si="5"/>
        <v>0</v>
      </c>
      <c r="I87" s="15" t="s">
        <v>262</v>
      </c>
      <c r="J87" s="25" t="s">
        <v>341</v>
      </c>
      <c r="K87" s="5" t="s">
        <v>139</v>
      </c>
      <c r="L87" s="17"/>
      <c r="M87" s="18" t="s">
        <v>276</v>
      </c>
      <c r="N87" s="5" t="s">
        <v>77</v>
      </c>
      <c r="O87" s="19">
        <v>46234.0</v>
      </c>
      <c r="P87" s="20"/>
      <c r="Q87" s="26">
        <v>10.0</v>
      </c>
      <c r="R87" s="26">
        <v>0.0</v>
      </c>
      <c r="S87" s="26" t="s">
        <v>32</v>
      </c>
      <c r="T87" s="21" t="str">
        <f t="shared" si="3"/>
        <v>2. PRODUTIVIDADE - Ações Penais (geral e júri) - Tempo Médio Ação do Júri</v>
      </c>
      <c r="U87" s="22">
        <f t="shared" si="4"/>
        <v>20</v>
      </c>
      <c r="V87" s="23">
        <f>IFERROR(VLOOKUP(T87,'Parcial - Prestação de contas'!A:D,4, ),0)</f>
        <v>0</v>
      </c>
    </row>
    <row r="88">
      <c r="A88" s="10" t="s">
        <v>258</v>
      </c>
      <c r="B88" s="10" t="s">
        <v>345</v>
      </c>
      <c r="C88" s="11" t="s">
        <v>346</v>
      </c>
      <c r="D88" s="10" t="s">
        <v>345</v>
      </c>
      <c r="E88" s="12" t="s">
        <v>347</v>
      </c>
      <c r="F88" s="11">
        <v>15.0</v>
      </c>
      <c r="G88" s="13">
        <f t="shared" si="1"/>
        <v>0</v>
      </c>
      <c r="H88" s="14">
        <f t="shared" si="5"/>
        <v>0</v>
      </c>
      <c r="I88" s="15" t="s">
        <v>262</v>
      </c>
      <c r="J88" s="25" t="s">
        <v>348</v>
      </c>
      <c r="K88" s="5" t="s">
        <v>349</v>
      </c>
      <c r="L88" s="17"/>
      <c r="M88" s="17"/>
      <c r="N88" s="5" t="s">
        <v>195</v>
      </c>
      <c r="O88" s="19">
        <v>46234.0</v>
      </c>
      <c r="P88" s="20"/>
      <c r="Q88" s="26">
        <v>0.0</v>
      </c>
      <c r="R88" s="26">
        <v>10.0</v>
      </c>
      <c r="S88" s="28"/>
      <c r="T88" s="21" t="str">
        <f t="shared" si="3"/>
        <v>2. PRODUTIVIDADE - Julgar IRDR ou IAC</v>
      </c>
      <c r="U88" s="22">
        <f t="shared" si="4"/>
        <v>15</v>
      </c>
      <c r="V88" s="23">
        <f>IFERROR(VLOOKUP(T88,'Parcial - Prestação de contas'!A:D,4, ),0)</f>
        <v>0</v>
      </c>
    </row>
    <row r="89">
      <c r="A89" s="10" t="s">
        <v>258</v>
      </c>
      <c r="B89" s="10" t="s">
        <v>350</v>
      </c>
      <c r="C89" s="11" t="s">
        <v>351</v>
      </c>
      <c r="D89" s="12" t="s">
        <v>352</v>
      </c>
      <c r="E89" s="12" t="s">
        <v>353</v>
      </c>
      <c r="F89" s="11">
        <v>30.0</v>
      </c>
      <c r="G89" s="13">
        <f t="shared" si="1"/>
        <v>0</v>
      </c>
      <c r="H89" s="14">
        <f t="shared" si="5"/>
        <v>0</v>
      </c>
      <c r="I89" s="15" t="s">
        <v>262</v>
      </c>
      <c r="J89" s="25" t="s">
        <v>27</v>
      </c>
      <c r="K89" s="5" t="s">
        <v>139</v>
      </c>
      <c r="L89" s="17"/>
      <c r="M89" s="18" t="s">
        <v>276</v>
      </c>
      <c r="N89" s="5" t="s">
        <v>195</v>
      </c>
      <c r="O89" s="19">
        <v>46234.0</v>
      </c>
      <c r="P89" s="20"/>
      <c r="Q89" s="26">
        <v>15.0</v>
      </c>
      <c r="R89" s="26">
        <v>16.0</v>
      </c>
      <c r="S89" s="26" t="s">
        <v>32</v>
      </c>
      <c r="T89" s="21" t="str">
        <f t="shared" si="3"/>
        <v>2. PRODUTIVIDADE - Unidades judiciárias com IAD acima de 100% - 1º Grau</v>
      </c>
      <c r="U89" s="22">
        <f t="shared" si="4"/>
        <v>30</v>
      </c>
      <c r="V89" s="23">
        <f>IFERROR(VLOOKUP(T89,'Parcial - Prestação de contas'!A:D,4, ),0)</f>
        <v>0</v>
      </c>
    </row>
    <row r="90">
      <c r="A90" s="10" t="s">
        <v>258</v>
      </c>
      <c r="B90" s="10" t="s">
        <v>350</v>
      </c>
      <c r="C90" s="11" t="s">
        <v>354</v>
      </c>
      <c r="D90" s="12" t="s">
        <v>355</v>
      </c>
      <c r="E90" s="12" t="s">
        <v>356</v>
      </c>
      <c r="F90" s="11">
        <v>20.0</v>
      </c>
      <c r="G90" s="13">
        <f t="shared" si="1"/>
        <v>0</v>
      </c>
      <c r="H90" s="14">
        <f t="shared" si="5"/>
        <v>0</v>
      </c>
      <c r="I90" s="15" t="s">
        <v>262</v>
      </c>
      <c r="J90" s="25" t="s">
        <v>27</v>
      </c>
      <c r="K90" s="5" t="s">
        <v>139</v>
      </c>
      <c r="L90" s="17"/>
      <c r="M90" s="18" t="s">
        <v>276</v>
      </c>
      <c r="N90" s="5" t="s">
        <v>195</v>
      </c>
      <c r="O90" s="19">
        <v>46234.0</v>
      </c>
      <c r="P90" s="20"/>
      <c r="Q90" s="26">
        <v>15.0</v>
      </c>
      <c r="R90" s="26">
        <v>15.0</v>
      </c>
      <c r="S90" s="26" t="s">
        <v>32</v>
      </c>
      <c r="T90" s="21" t="str">
        <f t="shared" si="3"/>
        <v>2. PRODUTIVIDADE - Unidades judiciárias com IAD acima de 100% - 2º Grau</v>
      </c>
      <c r="U90" s="22">
        <f t="shared" si="4"/>
        <v>20</v>
      </c>
      <c r="V90" s="23">
        <f>IFERROR(VLOOKUP(T90,'Parcial - Prestação de contas'!A:D,4, ),0)</f>
        <v>0</v>
      </c>
    </row>
    <row r="91">
      <c r="A91" s="10" t="s">
        <v>258</v>
      </c>
      <c r="B91" s="36" t="s">
        <v>357</v>
      </c>
      <c r="C91" s="11" t="s">
        <v>358</v>
      </c>
      <c r="D91" s="12" t="s">
        <v>359</v>
      </c>
      <c r="E91" s="12" t="s">
        <v>360</v>
      </c>
      <c r="F91" s="11">
        <v>20.0</v>
      </c>
      <c r="G91" s="13">
        <f t="shared" si="1"/>
        <v>0</v>
      </c>
      <c r="H91" s="14">
        <f t="shared" si="5"/>
        <v>0</v>
      </c>
      <c r="I91" s="15" t="s">
        <v>262</v>
      </c>
      <c r="J91" s="25" t="s">
        <v>299</v>
      </c>
      <c r="K91" s="5" t="s">
        <v>139</v>
      </c>
      <c r="L91" s="18" t="s">
        <v>32</v>
      </c>
      <c r="M91" s="18" t="s">
        <v>276</v>
      </c>
      <c r="N91" s="5" t="s">
        <v>195</v>
      </c>
      <c r="O91" s="19">
        <v>46234.0</v>
      </c>
      <c r="P91" s="20"/>
      <c r="Q91" s="26">
        <v>0.0</v>
      </c>
      <c r="R91" s="26">
        <v>0.0</v>
      </c>
      <c r="S91" s="26" t="s">
        <v>32</v>
      </c>
      <c r="T91" s="21" t="str">
        <f t="shared" si="3"/>
        <v>2. PRODUTIVIDADE - Juízo Verde - IAD</v>
      </c>
      <c r="U91" s="22">
        <f t="shared" si="4"/>
        <v>20</v>
      </c>
      <c r="V91" s="23">
        <f>IFERROR(VLOOKUP(T91,'Parcial - Prestação de contas'!A:D,4, ),0)</f>
        <v>0</v>
      </c>
    </row>
    <row r="92">
      <c r="A92" s="10" t="s">
        <v>258</v>
      </c>
      <c r="B92" s="10" t="s">
        <v>357</v>
      </c>
      <c r="C92" s="11" t="s">
        <v>361</v>
      </c>
      <c r="D92" s="12" t="s">
        <v>362</v>
      </c>
      <c r="E92" s="12" t="s">
        <v>363</v>
      </c>
      <c r="F92" s="11">
        <v>20.0</v>
      </c>
      <c r="G92" s="13">
        <f t="shared" si="1"/>
        <v>0</v>
      </c>
      <c r="H92" s="14">
        <f t="shared" si="5"/>
        <v>0</v>
      </c>
      <c r="I92" s="15" t="s">
        <v>262</v>
      </c>
      <c r="J92" s="25" t="s">
        <v>299</v>
      </c>
      <c r="K92" s="5" t="s">
        <v>139</v>
      </c>
      <c r="L92" s="18" t="s">
        <v>32</v>
      </c>
      <c r="M92" s="18" t="s">
        <v>276</v>
      </c>
      <c r="N92" s="5" t="s">
        <v>195</v>
      </c>
      <c r="O92" s="19">
        <v>46234.0</v>
      </c>
      <c r="P92" s="20"/>
      <c r="Q92" s="26">
        <v>20.0</v>
      </c>
      <c r="R92" s="26">
        <v>20.0</v>
      </c>
      <c r="S92" s="26" t="s">
        <v>32</v>
      </c>
      <c r="T92" s="21" t="str">
        <f t="shared" si="3"/>
        <v>2. PRODUTIVIDADE - Juízo Verde - Julgamento dos processos antigos</v>
      </c>
      <c r="U92" s="22">
        <f t="shared" si="4"/>
        <v>20</v>
      </c>
      <c r="V92" s="23">
        <f>IFERROR(VLOOKUP(T92,'Parcial - Prestação de contas'!A:D,4, ),0)</f>
        <v>0</v>
      </c>
    </row>
    <row r="93">
      <c r="A93" s="10" t="s">
        <v>258</v>
      </c>
      <c r="B93" s="34" t="s">
        <v>364</v>
      </c>
      <c r="C93" s="11" t="s">
        <v>365</v>
      </c>
      <c r="D93" s="12" t="s">
        <v>364</v>
      </c>
      <c r="E93" s="12" t="s">
        <v>366</v>
      </c>
      <c r="F93" s="11">
        <v>60.0</v>
      </c>
      <c r="G93" s="13">
        <f t="shared" si="1"/>
        <v>0</v>
      </c>
      <c r="H93" s="14">
        <f t="shared" si="5"/>
        <v>0</v>
      </c>
      <c r="I93" s="15" t="s">
        <v>262</v>
      </c>
      <c r="J93" s="25" t="s">
        <v>367</v>
      </c>
      <c r="K93" s="5" t="s">
        <v>139</v>
      </c>
      <c r="L93" s="18" t="s">
        <v>32</v>
      </c>
      <c r="M93" s="18" t="s">
        <v>368</v>
      </c>
      <c r="N93" s="5" t="s">
        <v>195</v>
      </c>
      <c r="O93" s="19">
        <v>46234.0</v>
      </c>
      <c r="P93" s="20"/>
      <c r="Q93" s="28"/>
      <c r="R93" s="26">
        <v>-30.0</v>
      </c>
      <c r="S93" s="26" t="s">
        <v>32</v>
      </c>
      <c r="T93" s="21" t="str">
        <f t="shared" si="3"/>
        <v>2. PRODUTIVIDADE - Incidentes de progressão de regime</v>
      </c>
      <c r="U93" s="22">
        <f t="shared" si="4"/>
        <v>60</v>
      </c>
      <c r="V93" s="23">
        <f>IFERROR(VLOOKUP(T93,'Parcial - Prestação de contas'!A:D,4, ),0)</f>
        <v>0</v>
      </c>
    </row>
    <row r="94">
      <c r="A94" s="10" t="s">
        <v>258</v>
      </c>
      <c r="B94" s="10" t="s">
        <v>369</v>
      </c>
      <c r="C94" s="11" t="s">
        <v>370</v>
      </c>
      <c r="D94" s="12" t="s">
        <v>371</v>
      </c>
      <c r="E94" s="12" t="s">
        <v>372</v>
      </c>
      <c r="F94" s="11">
        <v>5.0</v>
      </c>
      <c r="G94" s="13">
        <f t="shared" si="1"/>
        <v>0</v>
      </c>
      <c r="H94" s="14">
        <f t="shared" si="5"/>
        <v>0</v>
      </c>
      <c r="I94" s="15" t="s">
        <v>262</v>
      </c>
      <c r="J94" s="25" t="s">
        <v>249</v>
      </c>
      <c r="K94" s="5" t="s">
        <v>139</v>
      </c>
      <c r="L94" s="18" t="s">
        <v>32</v>
      </c>
      <c r="M94" s="18" t="s">
        <v>276</v>
      </c>
      <c r="N94" s="5" t="s">
        <v>77</v>
      </c>
      <c r="O94" s="19">
        <v>46234.0</v>
      </c>
      <c r="P94" s="20"/>
      <c r="Q94" s="26">
        <v>5.0</v>
      </c>
      <c r="R94" s="26"/>
      <c r="S94" s="26" t="s">
        <v>32</v>
      </c>
      <c r="T94" s="21" t="str">
        <f t="shared" si="3"/>
        <v>2. PRODUTIVIDADE - Audiências concentradas socioeducativo - Regulamentação</v>
      </c>
      <c r="U94" s="22">
        <f t="shared" si="4"/>
        <v>5</v>
      </c>
      <c r="V94" s="23">
        <f>IFERROR(VLOOKUP(T94,'Parcial - Prestação de contas'!A:D,4, ),0)</f>
        <v>0</v>
      </c>
    </row>
    <row r="95">
      <c r="A95" s="10" t="s">
        <v>258</v>
      </c>
      <c r="B95" s="10" t="s">
        <v>369</v>
      </c>
      <c r="C95" s="11" t="s">
        <v>373</v>
      </c>
      <c r="D95" s="12" t="s">
        <v>369</v>
      </c>
      <c r="E95" s="12" t="s">
        <v>374</v>
      </c>
      <c r="F95" s="11">
        <v>15.0</v>
      </c>
      <c r="G95" s="13">
        <f t="shared" si="1"/>
        <v>0</v>
      </c>
      <c r="H95" s="14">
        <f t="shared" si="5"/>
        <v>0</v>
      </c>
      <c r="I95" s="15" t="s">
        <v>262</v>
      </c>
      <c r="J95" s="25" t="s">
        <v>249</v>
      </c>
      <c r="K95" s="5" t="s">
        <v>139</v>
      </c>
      <c r="L95" s="18" t="s">
        <v>32</v>
      </c>
      <c r="M95" s="18" t="s">
        <v>276</v>
      </c>
      <c r="N95" s="5" t="s">
        <v>195</v>
      </c>
      <c r="O95" s="19">
        <v>46234.0</v>
      </c>
      <c r="P95" s="20"/>
      <c r="Q95" s="26">
        <v>15.0</v>
      </c>
      <c r="R95" s="26"/>
      <c r="S95" s="26" t="s">
        <v>32</v>
      </c>
      <c r="T95" s="21" t="str">
        <f t="shared" si="3"/>
        <v>2. PRODUTIVIDADE - Audiências concentradas socioeducativo</v>
      </c>
      <c r="U95" s="22">
        <f t="shared" si="4"/>
        <v>15</v>
      </c>
      <c r="V95" s="23">
        <f>IFERROR(VLOOKUP(T95,'Parcial - Prestação de contas'!A:D,4, ),0)</f>
        <v>0</v>
      </c>
    </row>
    <row r="96">
      <c r="A96" s="10" t="s">
        <v>258</v>
      </c>
      <c r="B96" s="34" t="s">
        <v>375</v>
      </c>
      <c r="C96" s="11" t="s">
        <v>376</v>
      </c>
      <c r="D96" s="12" t="s">
        <v>377</v>
      </c>
      <c r="E96" s="12" t="s">
        <v>378</v>
      </c>
      <c r="F96" s="11">
        <v>20.0</v>
      </c>
      <c r="G96" s="13">
        <f t="shared" si="1"/>
        <v>0</v>
      </c>
      <c r="H96" s="14">
        <f t="shared" si="5"/>
        <v>0</v>
      </c>
      <c r="I96" s="15" t="s">
        <v>262</v>
      </c>
      <c r="J96" s="25" t="s">
        <v>249</v>
      </c>
      <c r="K96" s="5" t="s">
        <v>139</v>
      </c>
      <c r="L96" s="18" t="s">
        <v>32</v>
      </c>
      <c r="M96" s="18" t="s">
        <v>276</v>
      </c>
      <c r="N96" s="5" t="s">
        <v>77</v>
      </c>
      <c r="O96" s="19">
        <v>46234.0</v>
      </c>
      <c r="P96" s="20"/>
      <c r="Q96" s="26">
        <v>0.0</v>
      </c>
      <c r="R96" s="26"/>
      <c r="S96" s="26" t="s">
        <v>32</v>
      </c>
      <c r="T96" s="21" t="str">
        <f t="shared" si="3"/>
        <v>2. PRODUTIVIDADE - Julgamento apurações infracionais - Tempo médio</v>
      </c>
      <c r="U96" s="22">
        <f t="shared" si="4"/>
        <v>20</v>
      </c>
      <c r="V96" s="23">
        <f>IFERROR(VLOOKUP(T96,'Parcial - Prestação de contas'!A:D,4, ),0)</f>
        <v>0</v>
      </c>
    </row>
    <row r="97">
      <c r="A97" s="10" t="s">
        <v>379</v>
      </c>
      <c r="B97" s="10" t="s">
        <v>380</v>
      </c>
      <c r="C97" s="11" t="s">
        <v>381</v>
      </c>
      <c r="D97" s="12" t="s">
        <v>382</v>
      </c>
      <c r="E97" s="12" t="s">
        <v>383</v>
      </c>
      <c r="F97" s="11">
        <v>10.0</v>
      </c>
      <c r="G97" s="13">
        <f t="shared" si="1"/>
        <v>0</v>
      </c>
      <c r="H97" s="14">
        <f t="shared" si="5"/>
        <v>0</v>
      </c>
      <c r="I97" s="15" t="s">
        <v>384</v>
      </c>
      <c r="J97" s="37" t="s">
        <v>385</v>
      </c>
      <c r="K97" s="5" t="s">
        <v>386</v>
      </c>
      <c r="L97" s="18" t="s">
        <v>32</v>
      </c>
      <c r="M97" s="18" t="s">
        <v>276</v>
      </c>
      <c r="N97" s="5" t="s">
        <v>77</v>
      </c>
      <c r="O97" s="19">
        <v>46234.0</v>
      </c>
      <c r="P97" s="20"/>
      <c r="Q97" s="26">
        <v>10.0</v>
      </c>
      <c r="R97" s="26">
        <v>0.0</v>
      </c>
      <c r="S97" s="28"/>
      <c r="T97" s="21" t="str">
        <f t="shared" si="3"/>
        <v>4. DADOS E TECNOLOGIA - DataJud - Assunto válido</v>
      </c>
      <c r="U97" s="22">
        <f t="shared" si="4"/>
        <v>10</v>
      </c>
      <c r="V97" s="23">
        <f>IFERROR(VLOOKUP(T97,'Parcial - Prestação de contas'!A:D,4, ),0)</f>
        <v>0</v>
      </c>
    </row>
    <row r="98">
      <c r="A98" s="10" t="s">
        <v>379</v>
      </c>
      <c r="B98" s="10" t="s">
        <v>380</v>
      </c>
      <c r="C98" s="11" t="s">
        <v>387</v>
      </c>
      <c r="D98" s="12" t="s">
        <v>388</v>
      </c>
      <c r="E98" s="12" t="s">
        <v>389</v>
      </c>
      <c r="F98" s="11">
        <v>10.0</v>
      </c>
      <c r="G98" s="13">
        <f t="shared" si="1"/>
        <v>0</v>
      </c>
      <c r="H98" s="14">
        <f t="shared" si="5"/>
        <v>0</v>
      </c>
      <c r="I98" s="38" t="s">
        <v>384</v>
      </c>
      <c r="J98" s="37" t="s">
        <v>385</v>
      </c>
      <c r="K98" s="5" t="s">
        <v>386</v>
      </c>
      <c r="L98" s="18" t="s">
        <v>32</v>
      </c>
      <c r="M98" s="18" t="s">
        <v>276</v>
      </c>
      <c r="N98" s="5" t="s">
        <v>77</v>
      </c>
      <c r="O98" s="19">
        <v>46234.0</v>
      </c>
      <c r="P98" s="20"/>
      <c r="Q98" s="26">
        <v>10.0</v>
      </c>
      <c r="R98" s="26">
        <v>10.0</v>
      </c>
      <c r="S98" s="28"/>
      <c r="T98" s="21" t="str">
        <f t="shared" si="3"/>
        <v>4. DADOS E TECNOLOGIA - DataJud - Movimento válido</v>
      </c>
      <c r="U98" s="22">
        <f t="shared" si="4"/>
        <v>10</v>
      </c>
      <c r="V98" s="23">
        <f>IFERROR(VLOOKUP(T98,'Parcial - Prestação de contas'!A:D,4, ),0)</f>
        <v>0</v>
      </c>
    </row>
    <row r="99">
      <c r="A99" s="10" t="s">
        <v>379</v>
      </c>
      <c r="B99" s="10" t="s">
        <v>380</v>
      </c>
      <c r="C99" s="11" t="s">
        <v>390</v>
      </c>
      <c r="D99" s="12" t="s">
        <v>391</v>
      </c>
      <c r="E99" s="12" t="s">
        <v>392</v>
      </c>
      <c r="F99" s="11">
        <v>10.0</v>
      </c>
      <c r="G99" s="13">
        <f t="shared" si="1"/>
        <v>0</v>
      </c>
      <c r="H99" s="14">
        <f t="shared" si="5"/>
        <v>0</v>
      </c>
      <c r="I99" s="38" t="s">
        <v>384</v>
      </c>
      <c r="J99" s="37" t="s">
        <v>385</v>
      </c>
      <c r="K99" s="5" t="s">
        <v>386</v>
      </c>
      <c r="L99" s="18" t="s">
        <v>32</v>
      </c>
      <c r="M99" s="18" t="s">
        <v>276</v>
      </c>
      <c r="N99" s="5" t="s">
        <v>77</v>
      </c>
      <c r="O99" s="19">
        <v>46234.0</v>
      </c>
      <c r="P99" s="20"/>
      <c r="Q99" s="26">
        <v>10.0</v>
      </c>
      <c r="R99" s="26">
        <v>10.0</v>
      </c>
      <c r="S99" s="28"/>
      <c r="T99" s="21" t="str">
        <f t="shared" si="3"/>
        <v>4. DADOS E TECNOLOGIA - DataJud - Movimento com complemento</v>
      </c>
      <c r="U99" s="22">
        <f t="shared" si="4"/>
        <v>10</v>
      </c>
      <c r="V99" s="23">
        <f>IFERROR(VLOOKUP(T99,'Parcial - Prestação de contas'!A:D,4, ),0)</f>
        <v>0</v>
      </c>
    </row>
    <row r="100">
      <c r="A100" s="10" t="s">
        <v>379</v>
      </c>
      <c r="B100" s="10" t="s">
        <v>380</v>
      </c>
      <c r="C100" s="11" t="s">
        <v>393</v>
      </c>
      <c r="D100" s="12" t="s">
        <v>394</v>
      </c>
      <c r="E100" s="12" t="s">
        <v>395</v>
      </c>
      <c r="F100" s="11">
        <v>10.0</v>
      </c>
      <c r="G100" s="13">
        <f t="shared" si="1"/>
        <v>0</v>
      </c>
      <c r="H100" s="14">
        <f t="shared" si="5"/>
        <v>0</v>
      </c>
      <c r="I100" s="38" t="s">
        <v>384</v>
      </c>
      <c r="J100" s="37" t="s">
        <v>385</v>
      </c>
      <c r="K100" s="5" t="s">
        <v>386</v>
      </c>
      <c r="L100" s="18" t="s">
        <v>32</v>
      </c>
      <c r="M100" s="18" t="s">
        <v>276</v>
      </c>
      <c r="N100" s="5" t="s">
        <v>77</v>
      </c>
      <c r="O100" s="19">
        <v>46234.0</v>
      </c>
      <c r="P100" s="20"/>
      <c r="Q100" s="26">
        <v>10.0</v>
      </c>
      <c r="R100" s="26">
        <v>10.0</v>
      </c>
      <c r="S100" s="28"/>
      <c r="T100" s="21" t="str">
        <f t="shared" si="3"/>
        <v>4. DADOS E TECNOLOGIA - DataJud - Documento do Polo ativo</v>
      </c>
      <c r="U100" s="22">
        <f t="shared" si="4"/>
        <v>10</v>
      </c>
      <c r="V100" s="23">
        <f>IFERROR(VLOOKUP(T100,'Parcial - Prestação de contas'!A:D,4, ),0)</f>
        <v>0</v>
      </c>
    </row>
    <row r="101">
      <c r="A101" s="10" t="s">
        <v>379</v>
      </c>
      <c r="B101" s="10" t="s">
        <v>380</v>
      </c>
      <c r="C101" s="11" t="s">
        <v>396</v>
      </c>
      <c r="D101" s="12" t="s">
        <v>397</v>
      </c>
      <c r="E101" s="12" t="s">
        <v>398</v>
      </c>
      <c r="F101" s="11">
        <v>10.0</v>
      </c>
      <c r="G101" s="13">
        <f t="shared" si="1"/>
        <v>0</v>
      </c>
      <c r="H101" s="14">
        <f t="shared" si="5"/>
        <v>0</v>
      </c>
      <c r="I101" s="38" t="s">
        <v>384</v>
      </c>
      <c r="J101" s="37" t="s">
        <v>385</v>
      </c>
      <c r="K101" s="5" t="s">
        <v>386</v>
      </c>
      <c r="L101" s="18" t="s">
        <v>32</v>
      </c>
      <c r="M101" s="18" t="s">
        <v>276</v>
      </c>
      <c r="N101" s="5" t="s">
        <v>77</v>
      </c>
      <c r="O101" s="19">
        <v>46234.0</v>
      </c>
      <c r="P101" s="20"/>
      <c r="Q101" s="26">
        <v>0.0</v>
      </c>
      <c r="R101" s="26">
        <v>10.0</v>
      </c>
      <c r="S101" s="28"/>
      <c r="T101" s="21" t="str">
        <f t="shared" si="3"/>
        <v>4. DADOS E TECNOLOGIA - DataJud - Documento do Polo passivo</v>
      </c>
      <c r="U101" s="22">
        <f t="shared" si="4"/>
        <v>10</v>
      </c>
      <c r="V101" s="23">
        <f>IFERROR(VLOOKUP(T101,'Parcial - Prestação de contas'!A:D,4, ),0)</f>
        <v>0</v>
      </c>
    </row>
    <row r="102">
      <c r="A102" s="10" t="s">
        <v>379</v>
      </c>
      <c r="B102" s="10" t="s">
        <v>380</v>
      </c>
      <c r="C102" s="11" t="s">
        <v>399</v>
      </c>
      <c r="D102" s="12" t="s">
        <v>400</v>
      </c>
      <c r="E102" s="12" t="s">
        <v>401</v>
      </c>
      <c r="F102" s="11">
        <v>10.0</v>
      </c>
      <c r="G102" s="13">
        <f t="shared" si="1"/>
        <v>0</v>
      </c>
      <c r="H102" s="14">
        <f t="shared" si="5"/>
        <v>0</v>
      </c>
      <c r="I102" s="38" t="s">
        <v>384</v>
      </c>
      <c r="J102" s="37" t="s">
        <v>385</v>
      </c>
      <c r="K102" s="5" t="s">
        <v>386</v>
      </c>
      <c r="L102" s="18" t="s">
        <v>32</v>
      </c>
      <c r="M102" s="18" t="s">
        <v>276</v>
      </c>
      <c r="N102" s="5" t="s">
        <v>77</v>
      </c>
      <c r="O102" s="19">
        <v>46234.0</v>
      </c>
      <c r="P102" s="20"/>
      <c r="Q102" s="26">
        <v>0.0</v>
      </c>
      <c r="R102" s="26">
        <v>0.0</v>
      </c>
      <c r="S102" s="28"/>
      <c r="T102" s="21" t="str">
        <f t="shared" si="3"/>
        <v>4. DADOS E TECNOLOGIA - DataJud - Processos Advogado polo passivo</v>
      </c>
      <c r="U102" s="22">
        <f t="shared" si="4"/>
        <v>10</v>
      </c>
      <c r="V102" s="23">
        <f>IFERROR(VLOOKUP(T102,'Parcial - Prestação de contas'!A:D,4, ),0)</f>
        <v>0</v>
      </c>
    </row>
    <row r="103">
      <c r="A103" s="10" t="s">
        <v>379</v>
      </c>
      <c r="B103" s="10" t="s">
        <v>380</v>
      </c>
      <c r="C103" s="11" t="s">
        <v>402</v>
      </c>
      <c r="D103" s="12" t="s">
        <v>403</v>
      </c>
      <c r="E103" s="12" t="s">
        <v>404</v>
      </c>
      <c r="F103" s="11">
        <v>10.0</v>
      </c>
      <c r="G103" s="13">
        <f t="shared" si="1"/>
        <v>0</v>
      </c>
      <c r="H103" s="14">
        <f t="shared" si="5"/>
        <v>0</v>
      </c>
      <c r="I103" s="38" t="s">
        <v>384</v>
      </c>
      <c r="J103" s="37" t="s">
        <v>385</v>
      </c>
      <c r="K103" s="5" t="s">
        <v>386</v>
      </c>
      <c r="L103" s="18" t="s">
        <v>32</v>
      </c>
      <c r="M103" s="18" t="s">
        <v>276</v>
      </c>
      <c r="N103" s="5" t="s">
        <v>77</v>
      </c>
      <c r="O103" s="19">
        <v>46234.0</v>
      </c>
      <c r="P103" s="20"/>
      <c r="Q103" s="26">
        <v>10.0</v>
      </c>
      <c r="R103" s="26">
        <v>5.0</v>
      </c>
      <c r="S103" s="28"/>
      <c r="T103" s="21" t="str">
        <f t="shared" si="3"/>
        <v>4. DADOS E TECNOLOGIA - DataJud - Processo Advogado - representante</v>
      </c>
      <c r="U103" s="22">
        <f t="shared" si="4"/>
        <v>10</v>
      </c>
      <c r="V103" s="23">
        <f>IFERROR(VLOOKUP(T103,'Parcial - Prestação de contas'!A:D,4, ),0)</f>
        <v>0</v>
      </c>
    </row>
    <row r="104">
      <c r="A104" s="10" t="s">
        <v>379</v>
      </c>
      <c r="B104" s="10" t="s">
        <v>380</v>
      </c>
      <c r="C104" s="11" t="s">
        <v>405</v>
      </c>
      <c r="D104" s="12" t="s">
        <v>406</v>
      </c>
      <c r="E104" s="12" t="s">
        <v>407</v>
      </c>
      <c r="F104" s="11">
        <v>10.0</v>
      </c>
      <c r="G104" s="13">
        <f t="shared" si="1"/>
        <v>0</v>
      </c>
      <c r="H104" s="14">
        <f t="shared" si="5"/>
        <v>0</v>
      </c>
      <c r="I104" s="38" t="s">
        <v>384</v>
      </c>
      <c r="J104" s="37" t="s">
        <v>385</v>
      </c>
      <c r="K104" s="5" t="s">
        <v>386</v>
      </c>
      <c r="L104" s="18" t="s">
        <v>32</v>
      </c>
      <c r="M104" s="18" t="s">
        <v>276</v>
      </c>
      <c r="N104" s="5" t="s">
        <v>77</v>
      </c>
      <c r="O104" s="19">
        <v>46234.0</v>
      </c>
      <c r="P104" s="20"/>
      <c r="Q104" s="26">
        <v>10.0</v>
      </c>
      <c r="R104" s="26">
        <v>5.0</v>
      </c>
      <c r="S104" s="28"/>
      <c r="T104" s="21" t="str">
        <f t="shared" si="3"/>
        <v>4. DADOS E TECNOLOGIA - DataJud - Movimento de audiência com complemento</v>
      </c>
      <c r="U104" s="22">
        <f t="shared" si="4"/>
        <v>10</v>
      </c>
      <c r="V104" s="23">
        <f>IFERROR(VLOOKUP(T104,'Parcial - Prestação de contas'!A:D,4, ),0)</f>
        <v>0</v>
      </c>
    </row>
    <row r="105">
      <c r="A105" s="10" t="s">
        <v>379</v>
      </c>
      <c r="B105" s="10" t="s">
        <v>380</v>
      </c>
      <c r="C105" s="11" t="s">
        <v>408</v>
      </c>
      <c r="D105" s="12" t="s">
        <v>409</v>
      </c>
      <c r="E105" s="12" t="s">
        <v>410</v>
      </c>
      <c r="F105" s="11">
        <v>10.0</v>
      </c>
      <c r="G105" s="13">
        <f t="shared" si="1"/>
        <v>0</v>
      </c>
      <c r="H105" s="14">
        <f t="shared" si="5"/>
        <v>0</v>
      </c>
      <c r="I105" s="38" t="s">
        <v>384</v>
      </c>
      <c r="J105" s="37" t="s">
        <v>385</v>
      </c>
      <c r="K105" s="5" t="s">
        <v>386</v>
      </c>
      <c r="L105" s="18" t="s">
        <v>32</v>
      </c>
      <c r="M105" s="18" t="s">
        <v>276</v>
      </c>
      <c r="N105" s="5" t="s">
        <v>77</v>
      </c>
      <c r="O105" s="19">
        <v>46234.0</v>
      </c>
      <c r="P105" s="20"/>
      <c r="Q105" s="26">
        <v>10.0</v>
      </c>
      <c r="R105" s="26">
        <v>5.0</v>
      </c>
      <c r="S105" s="28"/>
      <c r="T105" s="21" t="str">
        <f t="shared" si="3"/>
        <v>4. DADOS E TECNOLOGIA - DataJud - Movimento de Remessa com complemento</v>
      </c>
      <c r="U105" s="22">
        <f t="shared" si="4"/>
        <v>10</v>
      </c>
      <c r="V105" s="23">
        <f>IFERROR(VLOOKUP(T105,'Parcial - Prestação de contas'!A:D,4, ),0)</f>
        <v>0</v>
      </c>
    </row>
    <row r="106">
      <c r="A106" s="10" t="s">
        <v>379</v>
      </c>
      <c r="B106" s="10" t="s">
        <v>380</v>
      </c>
      <c r="C106" s="11" t="s">
        <v>411</v>
      </c>
      <c r="D106" s="12" t="s">
        <v>412</v>
      </c>
      <c r="E106" s="12" t="s">
        <v>413</v>
      </c>
      <c r="F106" s="11">
        <v>10.0</v>
      </c>
      <c r="G106" s="13">
        <f t="shared" si="1"/>
        <v>0</v>
      </c>
      <c r="H106" s="14">
        <f t="shared" si="5"/>
        <v>0</v>
      </c>
      <c r="I106" s="38" t="s">
        <v>384</v>
      </c>
      <c r="J106" s="37" t="s">
        <v>385</v>
      </c>
      <c r="K106" s="5" t="s">
        <v>386</v>
      </c>
      <c r="L106" s="18" t="s">
        <v>32</v>
      </c>
      <c r="M106" s="18" t="s">
        <v>276</v>
      </c>
      <c r="N106" s="5" t="s">
        <v>77</v>
      </c>
      <c r="O106" s="19">
        <v>46234.0</v>
      </c>
      <c r="P106" s="20"/>
      <c r="Q106" s="26">
        <v>10.0</v>
      </c>
      <c r="R106" s="26">
        <v>5.0</v>
      </c>
      <c r="S106" s="28"/>
      <c r="T106" s="21" t="str">
        <f t="shared" si="3"/>
        <v>4. DADOS E TECNOLOGIA - DataJud - Movimento de mudança de classe com complemento</v>
      </c>
      <c r="U106" s="22">
        <f t="shared" si="4"/>
        <v>10</v>
      </c>
      <c r="V106" s="23">
        <f>IFERROR(VLOOKUP(T106,'Parcial - Prestação de contas'!A:D,4, ),0)</f>
        <v>0</v>
      </c>
    </row>
    <row r="107">
      <c r="A107" s="10" t="s">
        <v>379</v>
      </c>
      <c r="B107" s="10" t="s">
        <v>380</v>
      </c>
      <c r="C107" s="11" t="s">
        <v>414</v>
      </c>
      <c r="D107" s="12" t="s">
        <v>415</v>
      </c>
      <c r="E107" s="12" t="s">
        <v>416</v>
      </c>
      <c r="F107" s="11">
        <v>10.0</v>
      </c>
      <c r="G107" s="13">
        <f t="shared" si="1"/>
        <v>0</v>
      </c>
      <c r="H107" s="14">
        <f t="shared" si="5"/>
        <v>0</v>
      </c>
      <c r="I107" s="38" t="s">
        <v>384</v>
      </c>
      <c r="J107" s="37" t="s">
        <v>385</v>
      </c>
      <c r="K107" s="5" t="s">
        <v>386</v>
      </c>
      <c r="L107" s="18" t="s">
        <v>32</v>
      </c>
      <c r="M107" s="18" t="s">
        <v>276</v>
      </c>
      <c r="N107" s="5" t="s">
        <v>77</v>
      </c>
      <c r="O107" s="19">
        <v>46234.0</v>
      </c>
      <c r="P107" s="20"/>
      <c r="Q107" s="26">
        <v>10.0</v>
      </c>
      <c r="R107" s="26">
        <v>0.0</v>
      </c>
      <c r="S107" s="28"/>
      <c r="T107" s="21" t="str">
        <f t="shared" si="3"/>
        <v>4. DADOS E TECNOLOGIA - DataJud - Movimento de recurso a instância superior com complemento</v>
      </c>
      <c r="U107" s="22">
        <f t="shared" si="4"/>
        <v>10</v>
      </c>
      <c r="V107" s="23">
        <f>IFERROR(VLOOKUP(T107,'Parcial - Prestação de contas'!A:D,4, ),0)</f>
        <v>0</v>
      </c>
    </row>
    <row r="108">
      <c r="A108" s="10" t="s">
        <v>379</v>
      </c>
      <c r="B108" s="10" t="s">
        <v>380</v>
      </c>
      <c r="C108" s="11" t="s">
        <v>417</v>
      </c>
      <c r="D108" s="12" t="s">
        <v>418</v>
      </c>
      <c r="E108" s="12" t="s">
        <v>419</v>
      </c>
      <c r="F108" s="11">
        <v>5.0</v>
      </c>
      <c r="G108" s="13">
        <f t="shared" si="1"/>
        <v>0</v>
      </c>
      <c r="H108" s="14">
        <f t="shared" si="5"/>
        <v>0</v>
      </c>
      <c r="I108" s="38" t="s">
        <v>384</v>
      </c>
      <c r="J108" s="37" t="s">
        <v>385</v>
      </c>
      <c r="K108" s="5" t="s">
        <v>386</v>
      </c>
      <c r="L108" s="18" t="s">
        <v>32</v>
      </c>
      <c r="M108" s="18" t="s">
        <v>276</v>
      </c>
      <c r="N108" s="5" t="s">
        <v>77</v>
      </c>
      <c r="O108" s="19">
        <v>46234.0</v>
      </c>
      <c r="P108" s="20"/>
      <c r="Q108" s="26">
        <v>5.0</v>
      </c>
      <c r="R108" s="26">
        <v>10.0</v>
      </c>
      <c r="S108" s="28"/>
      <c r="T108" s="21" t="str">
        <f t="shared" si="3"/>
        <v>4. DADOS E TECNOLOGIA - DataJud - Movimento de medida protetiva com complemento</v>
      </c>
      <c r="U108" s="22">
        <f t="shared" si="4"/>
        <v>5</v>
      </c>
      <c r="V108" s="23">
        <f>IFERROR(VLOOKUP(T108,'Parcial - Prestação de contas'!A:D,4, ),0)</f>
        <v>0</v>
      </c>
    </row>
    <row r="109">
      <c r="A109" s="10" t="s">
        <v>379</v>
      </c>
      <c r="B109" s="10" t="s">
        <v>380</v>
      </c>
      <c r="C109" s="11" t="s">
        <v>420</v>
      </c>
      <c r="D109" s="12" t="s">
        <v>421</v>
      </c>
      <c r="E109" s="12" t="s">
        <v>422</v>
      </c>
      <c r="F109" s="11">
        <v>5.0</v>
      </c>
      <c r="G109" s="13">
        <f t="shared" si="1"/>
        <v>0</v>
      </c>
      <c r="H109" s="14">
        <f t="shared" si="5"/>
        <v>0</v>
      </c>
      <c r="I109" s="38" t="s">
        <v>384</v>
      </c>
      <c r="J109" s="37" t="s">
        <v>385</v>
      </c>
      <c r="K109" s="5" t="s">
        <v>386</v>
      </c>
      <c r="L109" s="18" t="s">
        <v>32</v>
      </c>
      <c r="M109" s="18" t="s">
        <v>276</v>
      </c>
      <c r="N109" s="5" t="s">
        <v>77</v>
      </c>
      <c r="O109" s="19">
        <v>46234.0</v>
      </c>
      <c r="P109" s="20"/>
      <c r="Q109" s="26">
        <v>5.0</v>
      </c>
      <c r="R109" s="26">
        <v>10.0</v>
      </c>
      <c r="S109" s="28"/>
      <c r="T109" s="21" t="str">
        <f t="shared" si="3"/>
        <v>4. DADOS E TECNOLOGIA - DataJud - Ação Penal do Júri com assunto da hierarquia 3369</v>
      </c>
      <c r="U109" s="22">
        <f t="shared" si="4"/>
        <v>5</v>
      </c>
      <c r="V109" s="23">
        <f>IFERROR(VLOOKUP(T109,'Parcial - Prestação de contas'!A:D,4, ),0)</f>
        <v>0</v>
      </c>
    </row>
    <row r="110">
      <c r="A110" s="10" t="s">
        <v>379</v>
      </c>
      <c r="B110" s="10" t="s">
        <v>380</v>
      </c>
      <c r="C110" s="11" t="s">
        <v>423</v>
      </c>
      <c r="D110" s="12" t="s">
        <v>424</v>
      </c>
      <c r="E110" s="12" t="s">
        <v>425</v>
      </c>
      <c r="F110" s="11">
        <v>5.0</v>
      </c>
      <c r="G110" s="13">
        <f t="shared" si="1"/>
        <v>0</v>
      </c>
      <c r="H110" s="14">
        <f t="shared" si="5"/>
        <v>0</v>
      </c>
      <c r="I110" s="15" t="s">
        <v>384</v>
      </c>
      <c r="J110" s="37" t="s">
        <v>385</v>
      </c>
      <c r="K110" s="5" t="s">
        <v>386</v>
      </c>
      <c r="L110" s="18" t="s">
        <v>32</v>
      </c>
      <c r="M110" s="18" t="s">
        <v>276</v>
      </c>
      <c r="N110" s="5" t="s">
        <v>77</v>
      </c>
      <c r="O110" s="19">
        <v>46234.0</v>
      </c>
      <c r="P110" s="20"/>
      <c r="Q110" s="26">
        <v>5.0</v>
      </c>
      <c r="R110" s="26">
        <v>5.0</v>
      </c>
      <c r="S110" s="28"/>
      <c r="T110" s="21" t="str">
        <f t="shared" si="3"/>
        <v>4. DADOS E TECNOLOGIA - DataJud - Movimento de sessão júri com complemento</v>
      </c>
      <c r="U110" s="22">
        <f t="shared" si="4"/>
        <v>5</v>
      </c>
      <c r="V110" s="23">
        <f>IFERROR(VLOOKUP(T110,'Parcial - Prestação de contas'!A:D,4, ),0)</f>
        <v>0</v>
      </c>
    </row>
    <row r="111">
      <c r="A111" s="10" t="s">
        <v>379</v>
      </c>
      <c r="B111" s="10" t="s">
        <v>380</v>
      </c>
      <c r="C111" s="11" t="s">
        <v>426</v>
      </c>
      <c r="D111" s="12" t="s">
        <v>427</v>
      </c>
      <c r="E111" s="12" t="s">
        <v>428</v>
      </c>
      <c r="F111" s="11">
        <v>5.0</v>
      </c>
      <c r="G111" s="13">
        <f t="shared" si="1"/>
        <v>0</v>
      </c>
      <c r="H111" s="14">
        <f t="shared" si="5"/>
        <v>0</v>
      </c>
      <c r="I111" s="38" t="s">
        <v>384</v>
      </c>
      <c r="J111" s="37" t="s">
        <v>385</v>
      </c>
      <c r="K111" s="5" t="s">
        <v>386</v>
      </c>
      <c r="L111" s="18" t="s">
        <v>32</v>
      </c>
      <c r="M111" s="18" t="s">
        <v>276</v>
      </c>
      <c r="N111" s="5" t="s">
        <v>77</v>
      </c>
      <c r="O111" s="19">
        <v>46234.0</v>
      </c>
      <c r="P111" s="20"/>
      <c r="Q111" s="26">
        <v>5.0</v>
      </c>
      <c r="R111" s="26">
        <v>5.0</v>
      </c>
      <c r="S111" s="28"/>
      <c r="T111" s="21" t="str">
        <f t="shared" si="3"/>
        <v>4. DADOS E TECNOLOGIA - DataJud - Ação Penal do júri com polo passivo</v>
      </c>
      <c r="U111" s="22">
        <f t="shared" si="4"/>
        <v>5</v>
      </c>
      <c r="V111" s="23">
        <f>IFERROR(VLOOKUP(T111,'Parcial - Prestação de contas'!A:D,4, ),0)</f>
        <v>0</v>
      </c>
    </row>
    <row r="112">
      <c r="A112" s="10" t="s">
        <v>379</v>
      </c>
      <c r="B112" s="10" t="s">
        <v>380</v>
      </c>
      <c r="C112" s="11" t="s">
        <v>429</v>
      </c>
      <c r="D112" s="12" t="s">
        <v>430</v>
      </c>
      <c r="E112" s="12" t="s">
        <v>431</v>
      </c>
      <c r="F112" s="11">
        <v>10.0</v>
      </c>
      <c r="G112" s="13">
        <f t="shared" si="1"/>
        <v>0</v>
      </c>
      <c r="H112" s="14">
        <f t="shared" si="5"/>
        <v>0</v>
      </c>
      <c r="I112" s="38" t="s">
        <v>384</v>
      </c>
      <c r="J112" s="37" t="s">
        <v>385</v>
      </c>
      <c r="K112" s="5" t="s">
        <v>386</v>
      </c>
      <c r="L112" s="18" t="s">
        <v>32</v>
      </c>
      <c r="M112" s="18" t="s">
        <v>276</v>
      </c>
      <c r="N112" s="5" t="s">
        <v>77</v>
      </c>
      <c r="O112" s="19">
        <v>46234.0</v>
      </c>
      <c r="P112" s="20"/>
      <c r="Q112" s="26">
        <v>10.0</v>
      </c>
      <c r="R112" s="26">
        <v>2.0</v>
      </c>
      <c r="S112" s="28"/>
      <c r="T112" s="21" t="str">
        <f t="shared" si="3"/>
        <v>4. DADOS E TECNOLOGIA - DataJud - Movimento de Julgamento com CPF do Magistrado</v>
      </c>
      <c r="U112" s="22">
        <f t="shared" si="4"/>
        <v>10</v>
      </c>
      <c r="V112" s="23">
        <f>IFERROR(VLOOKUP(T112,'Parcial - Prestação de contas'!A:D,4, ),0)</f>
        <v>0</v>
      </c>
    </row>
    <row r="113">
      <c r="A113" s="10" t="s">
        <v>379</v>
      </c>
      <c r="B113" s="10" t="s">
        <v>380</v>
      </c>
      <c r="C113" s="11" t="s">
        <v>432</v>
      </c>
      <c r="D113" s="12" t="s">
        <v>433</v>
      </c>
      <c r="E113" s="12" t="s">
        <v>434</v>
      </c>
      <c r="F113" s="11">
        <v>10.0</v>
      </c>
      <c r="G113" s="13">
        <f t="shared" si="1"/>
        <v>0</v>
      </c>
      <c r="H113" s="14">
        <f t="shared" ref="H113:H118" si="6">G113/F113</f>
        <v>0</v>
      </c>
      <c r="I113" s="38" t="s">
        <v>384</v>
      </c>
      <c r="J113" s="37" t="s">
        <v>385</v>
      </c>
      <c r="K113" s="5" t="s">
        <v>386</v>
      </c>
      <c r="L113" s="18" t="s">
        <v>32</v>
      </c>
      <c r="M113" s="18" t="s">
        <v>276</v>
      </c>
      <c r="N113" s="5" t="s">
        <v>77</v>
      </c>
      <c r="O113" s="19">
        <v>46234.0</v>
      </c>
      <c r="P113" s="20"/>
      <c r="Q113" s="26">
        <v>10.0</v>
      </c>
      <c r="R113" s="26"/>
      <c r="S113" s="28"/>
      <c r="T113" s="21" t="str">
        <f t="shared" si="3"/>
        <v>4. DADOS E TECNOLOGIA - DataJud - Movimento x classe processual</v>
      </c>
      <c r="U113" s="22">
        <f t="shared" si="4"/>
        <v>10</v>
      </c>
      <c r="V113" s="23">
        <f>IFERROR(VLOOKUP(T113,'Parcial - Prestação de contas'!A:D,4, ),0)</f>
        <v>0</v>
      </c>
    </row>
    <row r="114">
      <c r="A114" s="10" t="s">
        <v>379</v>
      </c>
      <c r="B114" s="10" t="s">
        <v>380</v>
      </c>
      <c r="C114" s="11" t="s">
        <v>435</v>
      </c>
      <c r="D114" s="12" t="s">
        <v>436</v>
      </c>
      <c r="E114" s="12" t="s">
        <v>437</v>
      </c>
      <c r="F114" s="11">
        <v>10.0</v>
      </c>
      <c r="G114" s="13">
        <f t="shared" si="1"/>
        <v>0</v>
      </c>
      <c r="H114" s="14">
        <f t="shared" si="6"/>
        <v>0</v>
      </c>
      <c r="I114" s="38" t="s">
        <v>384</v>
      </c>
      <c r="J114" s="37" t="s">
        <v>385</v>
      </c>
      <c r="K114" s="5" t="s">
        <v>386</v>
      </c>
      <c r="L114" s="18" t="s">
        <v>32</v>
      </c>
      <c r="M114" s="18" t="s">
        <v>276</v>
      </c>
      <c r="N114" s="5" t="s">
        <v>77</v>
      </c>
      <c r="O114" s="19">
        <v>46234.0</v>
      </c>
      <c r="P114" s="20"/>
      <c r="Q114" s="26">
        <v>10.0</v>
      </c>
      <c r="R114" s="26"/>
      <c r="S114" s="28"/>
      <c r="T114" s="21" t="str">
        <f t="shared" si="3"/>
        <v>4. DADOS E TECNOLOGIA - DataJud - Movimento x órgão julgador</v>
      </c>
      <c r="U114" s="22">
        <f t="shared" si="4"/>
        <v>10</v>
      </c>
      <c r="V114" s="23">
        <f>IFERROR(VLOOKUP(T114,'Parcial - Prestação de contas'!A:D,4, ),0)</f>
        <v>0</v>
      </c>
    </row>
    <row r="115">
      <c r="A115" s="10" t="s">
        <v>379</v>
      </c>
      <c r="B115" s="10" t="s">
        <v>380</v>
      </c>
      <c r="C115" s="11" t="s">
        <v>438</v>
      </c>
      <c r="D115" s="12" t="s">
        <v>439</v>
      </c>
      <c r="E115" s="12" t="s">
        <v>440</v>
      </c>
      <c r="F115" s="11">
        <v>5.0</v>
      </c>
      <c r="G115" s="13">
        <f t="shared" si="1"/>
        <v>0</v>
      </c>
      <c r="H115" s="14">
        <f t="shared" si="6"/>
        <v>0</v>
      </c>
      <c r="I115" s="38" t="s">
        <v>384</v>
      </c>
      <c r="J115" s="37" t="s">
        <v>385</v>
      </c>
      <c r="K115" s="5" t="s">
        <v>386</v>
      </c>
      <c r="L115" s="18" t="s">
        <v>32</v>
      </c>
      <c r="M115" s="18" t="s">
        <v>276</v>
      </c>
      <c r="N115" s="5" t="s">
        <v>77</v>
      </c>
      <c r="O115" s="19">
        <v>46234.0</v>
      </c>
      <c r="P115" s="20"/>
      <c r="Q115" s="26">
        <v>5.0</v>
      </c>
      <c r="R115" s="26"/>
      <c r="S115" s="28"/>
      <c r="T115" s="21" t="str">
        <f t="shared" si="3"/>
        <v>4. DADOS E TECNOLOGIA - DataJud - Movimento x órgão colegiado</v>
      </c>
      <c r="U115" s="22">
        <f t="shared" si="4"/>
        <v>5</v>
      </c>
      <c r="V115" s="23">
        <f>IFERROR(VLOOKUP(T115,'Parcial - Prestação de contas'!A:D,4, ),0)</f>
        <v>0</v>
      </c>
    </row>
    <row r="116">
      <c r="A116" s="10" t="s">
        <v>379</v>
      </c>
      <c r="B116" s="10" t="s">
        <v>380</v>
      </c>
      <c r="C116" s="11" t="s">
        <v>441</v>
      </c>
      <c r="D116" s="12" t="s">
        <v>442</v>
      </c>
      <c r="E116" s="12" t="s">
        <v>443</v>
      </c>
      <c r="F116" s="11">
        <v>5.0</v>
      </c>
      <c r="G116" s="13">
        <f t="shared" si="1"/>
        <v>0</v>
      </c>
      <c r="H116" s="14">
        <f t="shared" si="6"/>
        <v>0</v>
      </c>
      <c r="I116" s="38" t="s">
        <v>384</v>
      </c>
      <c r="J116" s="37" t="s">
        <v>385</v>
      </c>
      <c r="K116" s="5" t="s">
        <v>386</v>
      </c>
      <c r="L116" s="18" t="s">
        <v>32</v>
      </c>
      <c r="M116" s="18" t="s">
        <v>276</v>
      </c>
      <c r="N116" s="5" t="s">
        <v>77</v>
      </c>
      <c r="O116" s="19">
        <v>46234.0</v>
      </c>
      <c r="P116" s="20"/>
      <c r="Q116" s="26">
        <v>5.0</v>
      </c>
      <c r="R116" s="26"/>
      <c r="S116" s="28"/>
      <c r="T116" s="21" t="str">
        <f t="shared" si="3"/>
        <v>4. DADOS E TECNOLOGIA - DataJud - processos juizo 100% digital</v>
      </c>
      <c r="U116" s="22">
        <f t="shared" si="4"/>
        <v>5</v>
      </c>
      <c r="V116" s="23">
        <f>IFERROR(VLOOKUP(T116,'Parcial - Prestação de contas'!A:D,4, ),0)</f>
        <v>0</v>
      </c>
    </row>
    <row r="117">
      <c r="A117" s="10" t="s">
        <v>379</v>
      </c>
      <c r="B117" s="10" t="s">
        <v>380</v>
      </c>
      <c r="C117" s="11" t="s">
        <v>444</v>
      </c>
      <c r="D117" s="12" t="s">
        <v>445</v>
      </c>
      <c r="E117" s="12" t="s">
        <v>446</v>
      </c>
      <c r="F117" s="11">
        <v>2.0</v>
      </c>
      <c r="G117" s="13">
        <f t="shared" si="1"/>
        <v>0</v>
      </c>
      <c r="H117" s="14">
        <f t="shared" si="6"/>
        <v>0</v>
      </c>
      <c r="I117" s="38" t="s">
        <v>384</v>
      </c>
      <c r="J117" s="37" t="s">
        <v>385</v>
      </c>
      <c r="K117" s="5" t="s">
        <v>386</v>
      </c>
      <c r="L117" s="18" t="s">
        <v>32</v>
      </c>
      <c r="M117" s="18" t="s">
        <v>276</v>
      </c>
      <c r="N117" s="5" t="s">
        <v>77</v>
      </c>
      <c r="O117" s="19">
        <v>46234.0</v>
      </c>
      <c r="P117" s="20"/>
      <c r="Q117" s="26">
        <v>2.0</v>
      </c>
      <c r="R117" s="26"/>
      <c r="S117" s="28"/>
      <c r="T117" s="21" t="str">
        <f t="shared" si="3"/>
        <v>4. DADOS E TECNOLOGIA - DataJud - Processos com Custas recolhidas</v>
      </c>
      <c r="U117" s="22">
        <f t="shared" si="4"/>
        <v>2</v>
      </c>
      <c r="V117" s="23">
        <f>IFERROR(VLOOKUP(T117,'Parcial - Prestação de contas'!A:D,4, ),0)</f>
        <v>0</v>
      </c>
    </row>
    <row r="118">
      <c r="A118" s="10" t="s">
        <v>379</v>
      </c>
      <c r="B118" s="10" t="s">
        <v>380</v>
      </c>
      <c r="C118" s="11" t="s">
        <v>447</v>
      </c>
      <c r="D118" s="12" t="s">
        <v>448</v>
      </c>
      <c r="E118" s="12" t="s">
        <v>449</v>
      </c>
      <c r="F118" s="11">
        <v>2.0</v>
      </c>
      <c r="G118" s="13">
        <f t="shared" si="1"/>
        <v>0</v>
      </c>
      <c r="H118" s="14">
        <f t="shared" si="6"/>
        <v>0</v>
      </c>
      <c r="I118" s="38" t="s">
        <v>384</v>
      </c>
      <c r="J118" s="37" t="s">
        <v>385</v>
      </c>
      <c r="K118" s="5" t="s">
        <v>386</v>
      </c>
      <c r="L118" s="18" t="s">
        <v>32</v>
      </c>
      <c r="M118" s="18" t="s">
        <v>276</v>
      </c>
      <c r="N118" s="5" t="s">
        <v>77</v>
      </c>
      <c r="O118" s="19">
        <v>46234.0</v>
      </c>
      <c r="P118" s="20"/>
      <c r="Q118" s="26">
        <v>2.0</v>
      </c>
      <c r="R118" s="26"/>
      <c r="S118" s="28"/>
      <c r="T118" s="21" t="str">
        <f t="shared" si="3"/>
        <v>4. DADOS E TECNOLOGIA - DataJud - processos com prioridade</v>
      </c>
      <c r="U118" s="22">
        <f t="shared" si="4"/>
        <v>2</v>
      </c>
      <c r="V118" s="23">
        <f>IFERROR(VLOOKUP(T118,'Parcial - Prestação de contas'!A:D,4, ),0)</f>
        <v>0</v>
      </c>
    </row>
    <row r="119">
      <c r="A119" s="10" t="s">
        <v>379</v>
      </c>
      <c r="B119" s="10" t="s">
        <v>450</v>
      </c>
      <c r="C119" s="11" t="s">
        <v>451</v>
      </c>
      <c r="D119" s="12" t="s">
        <v>452</v>
      </c>
      <c r="E119" s="12" t="s">
        <v>453</v>
      </c>
      <c r="F119" s="11">
        <v>20.0</v>
      </c>
      <c r="G119" s="13">
        <f t="shared" si="1"/>
        <v>0</v>
      </c>
      <c r="H119" s="14">
        <f t="shared" ref="H119:H139" si="7">IFERROR(G119/F119,0)</f>
        <v>0</v>
      </c>
      <c r="I119" s="38" t="s">
        <v>94</v>
      </c>
      <c r="J119" s="38" t="s">
        <v>94</v>
      </c>
      <c r="K119" s="5" t="s">
        <v>29</v>
      </c>
      <c r="L119" s="17"/>
      <c r="M119" s="18" t="s">
        <v>60</v>
      </c>
      <c r="N119" s="5" t="s">
        <v>454</v>
      </c>
      <c r="O119" s="19">
        <v>46254.0</v>
      </c>
      <c r="P119" s="20"/>
      <c r="Q119" s="26">
        <v>20.0</v>
      </c>
      <c r="R119" s="26">
        <v>20.0</v>
      </c>
      <c r="S119" s="26"/>
      <c r="T119" s="21" t="str">
        <f t="shared" si="3"/>
        <v>4. DADOS E TECNOLOGIA - MPM - Cadastro de serventias</v>
      </c>
      <c r="U119" s="22">
        <f t="shared" si="4"/>
        <v>20</v>
      </c>
      <c r="V119" s="23">
        <f>IFERROR(VLOOKUP(T119,'Parcial - Prestação de contas'!A:D,4, ),0)</f>
        <v>0</v>
      </c>
    </row>
    <row r="120">
      <c r="A120" s="10" t="s">
        <v>379</v>
      </c>
      <c r="B120" s="10" t="s">
        <v>450</v>
      </c>
      <c r="C120" s="11" t="s">
        <v>455</v>
      </c>
      <c r="D120" s="12" t="s">
        <v>456</v>
      </c>
      <c r="E120" s="12" t="s">
        <v>457</v>
      </c>
      <c r="F120" s="11">
        <v>20.0</v>
      </c>
      <c r="G120" s="13">
        <f t="shared" si="1"/>
        <v>0</v>
      </c>
      <c r="H120" s="14">
        <f t="shared" si="7"/>
        <v>0</v>
      </c>
      <c r="I120" s="38" t="s">
        <v>94</v>
      </c>
      <c r="J120" s="38" t="s">
        <v>94</v>
      </c>
      <c r="K120" s="5" t="s">
        <v>29</v>
      </c>
      <c r="L120" s="17"/>
      <c r="M120" s="18" t="s">
        <v>60</v>
      </c>
      <c r="N120" s="5" t="s">
        <v>454</v>
      </c>
      <c r="O120" s="19">
        <v>46254.0</v>
      </c>
      <c r="P120" s="20"/>
      <c r="Q120" s="26">
        <v>20.0</v>
      </c>
      <c r="R120" s="26">
        <v>20.0</v>
      </c>
      <c r="S120" s="26"/>
      <c r="T120" s="21" t="str">
        <f t="shared" si="3"/>
        <v>4. DADOS E TECNOLOGIA - MPM - Cadastro de Magistrados</v>
      </c>
      <c r="U120" s="22">
        <f t="shared" si="4"/>
        <v>20</v>
      </c>
      <c r="V120" s="23">
        <f>IFERROR(VLOOKUP(T120,'Parcial - Prestação de contas'!A:D,4, ),0)</f>
        <v>0</v>
      </c>
    </row>
    <row r="121">
      <c r="A121" s="10" t="s">
        <v>379</v>
      </c>
      <c r="B121" s="10" t="s">
        <v>450</v>
      </c>
      <c r="C121" s="11" t="s">
        <v>458</v>
      </c>
      <c r="D121" s="12" t="s">
        <v>459</v>
      </c>
      <c r="E121" s="12" t="s">
        <v>460</v>
      </c>
      <c r="F121" s="11">
        <v>20.0</v>
      </c>
      <c r="G121" s="13">
        <f t="shared" si="1"/>
        <v>0</v>
      </c>
      <c r="H121" s="14">
        <f t="shared" si="7"/>
        <v>0</v>
      </c>
      <c r="I121" s="38" t="s">
        <v>94</v>
      </c>
      <c r="J121" s="38" t="s">
        <v>94</v>
      </c>
      <c r="K121" s="5" t="s">
        <v>29</v>
      </c>
      <c r="L121" s="17"/>
      <c r="M121" s="18" t="s">
        <v>60</v>
      </c>
      <c r="N121" s="5" t="s">
        <v>454</v>
      </c>
      <c r="O121" s="19">
        <v>46254.0</v>
      </c>
      <c r="P121" s="20"/>
      <c r="Q121" s="26">
        <v>20.0</v>
      </c>
      <c r="R121" s="26">
        <v>20.0</v>
      </c>
      <c r="S121" s="28"/>
      <c r="T121" s="21" t="str">
        <f t="shared" si="3"/>
        <v>4. DADOS E TECNOLOGIA - MPM - Cadastro de Servidores</v>
      </c>
      <c r="U121" s="22">
        <f t="shared" si="4"/>
        <v>20</v>
      </c>
      <c r="V121" s="23">
        <f>IFERROR(VLOOKUP(T121,'Parcial - Prestação de contas'!A:D,4, ),0)</f>
        <v>0</v>
      </c>
    </row>
    <row r="122">
      <c r="A122" s="10" t="s">
        <v>379</v>
      </c>
      <c r="B122" s="10" t="s">
        <v>461</v>
      </c>
      <c r="C122" s="11" t="s">
        <v>462</v>
      </c>
      <c r="D122" s="12" t="s">
        <v>463</v>
      </c>
      <c r="E122" s="12" t="s">
        <v>463</v>
      </c>
      <c r="F122" s="11">
        <v>10.0</v>
      </c>
      <c r="G122" s="13">
        <f t="shared" si="1"/>
        <v>0</v>
      </c>
      <c r="H122" s="14">
        <f t="shared" si="7"/>
        <v>0</v>
      </c>
      <c r="I122" s="38" t="s">
        <v>384</v>
      </c>
      <c r="J122" s="37" t="s">
        <v>385</v>
      </c>
      <c r="K122" s="5" t="s">
        <v>386</v>
      </c>
      <c r="L122" s="18" t="s">
        <v>32</v>
      </c>
      <c r="M122" s="18" t="s">
        <v>276</v>
      </c>
      <c r="N122" s="5" t="s">
        <v>464</v>
      </c>
      <c r="O122" s="19">
        <v>46249.0</v>
      </c>
      <c r="P122" s="20"/>
      <c r="Q122" s="26">
        <v>10.0</v>
      </c>
      <c r="R122" s="26">
        <v>10.0</v>
      </c>
      <c r="S122" s="28"/>
      <c r="T122" s="21" t="str">
        <f t="shared" si="3"/>
        <v>4. DADOS E TECNOLOGIA - Saneamento do Datajud - Dados básicos</v>
      </c>
      <c r="U122" s="22">
        <f t="shared" si="4"/>
        <v>10</v>
      </c>
      <c r="V122" s="23">
        <f>IFERROR(VLOOKUP(T122,'Parcial - Prestação de contas'!A:D,4, ),0)</f>
        <v>0</v>
      </c>
    </row>
    <row r="123">
      <c r="A123" s="10" t="s">
        <v>379</v>
      </c>
      <c r="B123" s="10" t="s">
        <v>461</v>
      </c>
      <c r="C123" s="11" t="s">
        <v>465</v>
      </c>
      <c r="D123" s="12" t="s">
        <v>466</v>
      </c>
      <c r="E123" s="12" t="s">
        <v>466</v>
      </c>
      <c r="F123" s="11">
        <v>10.0</v>
      </c>
      <c r="G123" s="13">
        <f t="shared" si="1"/>
        <v>0</v>
      </c>
      <c r="H123" s="14">
        <f t="shared" si="7"/>
        <v>0</v>
      </c>
      <c r="I123" s="38" t="s">
        <v>384</v>
      </c>
      <c r="J123" s="37" t="s">
        <v>385</v>
      </c>
      <c r="K123" s="5" t="s">
        <v>386</v>
      </c>
      <c r="L123" s="18" t="s">
        <v>32</v>
      </c>
      <c r="M123" s="18" t="s">
        <v>276</v>
      </c>
      <c r="N123" s="5" t="s">
        <v>464</v>
      </c>
      <c r="O123" s="19">
        <v>46249.0</v>
      </c>
      <c r="P123" s="20"/>
      <c r="Q123" s="26">
        <v>10.0</v>
      </c>
      <c r="R123" s="26">
        <v>0.0</v>
      </c>
      <c r="S123" s="28"/>
      <c r="T123" s="21" t="str">
        <f t="shared" si="3"/>
        <v>4. DADOS E TECNOLOGIA - Saneamento do Datajud - Assuntos</v>
      </c>
      <c r="U123" s="22">
        <f t="shared" si="4"/>
        <v>10</v>
      </c>
      <c r="V123" s="23">
        <f>IFERROR(VLOOKUP(T123,'Parcial - Prestação de contas'!A:D,4, ),0)</f>
        <v>0</v>
      </c>
    </row>
    <row r="124">
      <c r="A124" s="10" t="s">
        <v>379</v>
      </c>
      <c r="B124" s="10" t="s">
        <v>461</v>
      </c>
      <c r="C124" s="11" t="s">
        <v>467</v>
      </c>
      <c r="D124" s="12" t="s">
        <v>468</v>
      </c>
      <c r="E124" s="12" t="s">
        <v>468</v>
      </c>
      <c r="F124" s="11">
        <v>10.0</v>
      </c>
      <c r="G124" s="13">
        <f t="shared" si="1"/>
        <v>0</v>
      </c>
      <c r="H124" s="14">
        <f t="shared" si="7"/>
        <v>0</v>
      </c>
      <c r="I124" s="38" t="s">
        <v>384</v>
      </c>
      <c r="J124" s="37" t="s">
        <v>385</v>
      </c>
      <c r="K124" s="5" t="s">
        <v>386</v>
      </c>
      <c r="L124" s="18" t="s">
        <v>32</v>
      </c>
      <c r="M124" s="18" t="s">
        <v>276</v>
      </c>
      <c r="N124" s="5" t="s">
        <v>464</v>
      </c>
      <c r="O124" s="19">
        <v>46249.0</v>
      </c>
      <c r="P124" s="20"/>
      <c r="Q124" s="26">
        <v>0.0</v>
      </c>
      <c r="R124" s="26">
        <v>0.0</v>
      </c>
      <c r="S124" s="28"/>
      <c r="T124" s="21" t="str">
        <f t="shared" si="3"/>
        <v>4. DADOS E TECNOLOGIA - Saneamento do Datajud - Partes</v>
      </c>
      <c r="U124" s="22">
        <f t="shared" si="4"/>
        <v>10</v>
      </c>
      <c r="V124" s="23">
        <f>IFERROR(VLOOKUP(T124,'Parcial - Prestação de contas'!A:D,4, ),0)</f>
        <v>0</v>
      </c>
    </row>
    <row r="125">
      <c r="A125" s="10" t="s">
        <v>379</v>
      </c>
      <c r="B125" s="10" t="s">
        <v>469</v>
      </c>
      <c r="C125" s="11" t="s">
        <v>470</v>
      </c>
      <c r="D125" s="12" t="s">
        <v>469</v>
      </c>
      <c r="E125" s="12" t="s">
        <v>471</v>
      </c>
      <c r="F125" s="11">
        <v>50.0</v>
      </c>
      <c r="G125" s="13">
        <f t="shared" si="1"/>
        <v>0</v>
      </c>
      <c r="H125" s="14">
        <f t="shared" si="7"/>
        <v>0</v>
      </c>
      <c r="I125" s="38" t="s">
        <v>384</v>
      </c>
      <c r="J125" s="25" t="s">
        <v>178</v>
      </c>
      <c r="K125" s="5" t="s">
        <v>386</v>
      </c>
      <c r="L125" s="18"/>
      <c r="M125" s="18" t="s">
        <v>276</v>
      </c>
      <c r="N125" s="5" t="s">
        <v>77</v>
      </c>
      <c r="O125" s="19">
        <v>46234.0</v>
      </c>
      <c r="P125" s="20"/>
      <c r="Q125" s="26">
        <v>50.0</v>
      </c>
      <c r="R125" s="26">
        <v>50.0</v>
      </c>
      <c r="S125" s="28"/>
      <c r="T125" s="21" t="str">
        <f t="shared" si="3"/>
        <v>4. DADOS E TECNOLOGIA - Acervo Eletrònico</v>
      </c>
      <c r="U125" s="22">
        <f t="shared" si="4"/>
        <v>50</v>
      </c>
      <c r="V125" s="23">
        <f>IFERROR(VLOOKUP(T125,'Parcial - Prestação de contas'!A:D,4, ),0)</f>
        <v>0</v>
      </c>
    </row>
    <row r="126">
      <c r="A126" s="10" t="s">
        <v>379</v>
      </c>
      <c r="B126" s="10" t="s">
        <v>472</v>
      </c>
      <c r="C126" s="11" t="s">
        <v>473</v>
      </c>
      <c r="D126" s="10" t="s">
        <v>472</v>
      </c>
      <c r="E126" s="12" t="s">
        <v>474</v>
      </c>
      <c r="F126" s="11">
        <v>30.0</v>
      </c>
      <c r="G126" s="13">
        <f t="shared" si="1"/>
        <v>0</v>
      </c>
      <c r="H126" s="14">
        <f t="shared" si="7"/>
        <v>0</v>
      </c>
      <c r="I126" s="38" t="s">
        <v>384</v>
      </c>
      <c r="J126" s="25" t="s">
        <v>178</v>
      </c>
      <c r="K126" s="5" t="s">
        <v>475</v>
      </c>
      <c r="L126" s="17"/>
      <c r="M126" s="18" t="s">
        <v>60</v>
      </c>
      <c r="N126" s="5" t="s">
        <v>476</v>
      </c>
      <c r="O126" s="19">
        <v>46280.0</v>
      </c>
      <c r="P126" s="20"/>
      <c r="Q126" s="26">
        <v>30.0</v>
      </c>
      <c r="R126" s="26">
        <v>30.0</v>
      </c>
      <c r="S126" s="28"/>
      <c r="T126" s="21" t="str">
        <f t="shared" si="3"/>
        <v>4. DADOS E TECNOLOGIA - iGov-TIC-JUD</v>
      </c>
      <c r="U126" s="22">
        <f t="shared" si="4"/>
        <v>30</v>
      </c>
      <c r="V126" s="23">
        <f>IFERROR(VLOOKUP(T126,'Parcial - Prestação de contas'!A:D,4, ),0)</f>
        <v>0</v>
      </c>
    </row>
    <row r="127">
      <c r="A127" s="10" t="s">
        <v>379</v>
      </c>
      <c r="B127" s="10" t="s">
        <v>472</v>
      </c>
      <c r="C127" s="11" t="s">
        <v>477</v>
      </c>
      <c r="D127" s="12" t="s">
        <v>478</v>
      </c>
      <c r="E127" s="12" t="s">
        <v>479</v>
      </c>
      <c r="F127" s="11">
        <v>30.0</v>
      </c>
      <c r="G127" s="13">
        <f t="shared" si="1"/>
        <v>0</v>
      </c>
      <c r="H127" s="14">
        <f t="shared" si="7"/>
        <v>0</v>
      </c>
      <c r="I127" s="38" t="s">
        <v>384</v>
      </c>
      <c r="J127" s="25" t="s">
        <v>178</v>
      </c>
      <c r="K127" s="5" t="s">
        <v>475</v>
      </c>
      <c r="L127" s="17"/>
      <c r="M127" s="18" t="s">
        <v>60</v>
      </c>
      <c r="N127" s="5" t="s">
        <v>480</v>
      </c>
      <c r="O127" s="19">
        <v>46234.0</v>
      </c>
      <c r="P127" s="20"/>
      <c r="Q127" s="26">
        <v>0.0</v>
      </c>
      <c r="R127" s="26">
        <v>0.0</v>
      </c>
      <c r="S127" s="28"/>
      <c r="T127" s="21" t="str">
        <f t="shared" si="3"/>
        <v>4. DADOS E TECNOLOGIA - iGov-TIC-JUD - Força de Trabalho Ditec</v>
      </c>
      <c r="U127" s="22">
        <f t="shared" si="4"/>
        <v>30</v>
      </c>
      <c r="V127" s="23">
        <f>IFERROR(VLOOKUP(T127,'Parcial - Prestação de contas'!A:D,4, ),0)</f>
        <v>0</v>
      </c>
    </row>
    <row r="128">
      <c r="A128" s="10" t="s">
        <v>379</v>
      </c>
      <c r="B128" s="10" t="s">
        <v>481</v>
      </c>
      <c r="C128" s="30" t="s">
        <v>482</v>
      </c>
      <c r="D128" s="12" t="s">
        <v>483</v>
      </c>
      <c r="E128" s="12" t="s">
        <v>484</v>
      </c>
      <c r="F128" s="11">
        <v>30.0</v>
      </c>
      <c r="G128" s="13">
        <f t="shared" si="1"/>
        <v>0</v>
      </c>
      <c r="H128" s="14">
        <f t="shared" si="7"/>
        <v>0</v>
      </c>
      <c r="I128" s="38" t="s">
        <v>384</v>
      </c>
      <c r="J128" s="25" t="s">
        <v>178</v>
      </c>
      <c r="K128" s="5" t="s">
        <v>485</v>
      </c>
      <c r="L128" s="17"/>
      <c r="M128" s="17"/>
      <c r="N128" s="5" t="s">
        <v>77</v>
      </c>
      <c r="O128" s="19">
        <v>46234.0</v>
      </c>
      <c r="P128" s="20"/>
      <c r="Q128" s="26">
        <v>30.0</v>
      </c>
      <c r="R128" s="26">
        <v>30.0</v>
      </c>
      <c r="S128" s="28"/>
      <c r="T128" s="21" t="str">
        <f t="shared" si="3"/>
        <v>4. DADOS E TECNOLOGIA - PDPJ - SSO</v>
      </c>
      <c r="U128" s="22">
        <f t="shared" si="4"/>
        <v>30</v>
      </c>
      <c r="V128" s="23">
        <f>IFERROR(VLOOKUP(T128,'Parcial - Prestação de contas'!A:D,4, ),0)</f>
        <v>0</v>
      </c>
    </row>
    <row r="129">
      <c r="A129" s="10" t="s">
        <v>379</v>
      </c>
      <c r="B129" s="10" t="s">
        <v>481</v>
      </c>
      <c r="C129" s="30" t="s">
        <v>486</v>
      </c>
      <c r="D129" s="12" t="s">
        <v>487</v>
      </c>
      <c r="E129" s="12" t="s">
        <v>488</v>
      </c>
      <c r="F129" s="11">
        <v>20.0</v>
      </c>
      <c r="G129" s="13">
        <f t="shared" si="1"/>
        <v>0</v>
      </c>
      <c r="H129" s="14">
        <f t="shared" si="7"/>
        <v>0</v>
      </c>
      <c r="I129" s="38" t="s">
        <v>384</v>
      </c>
      <c r="J129" s="25" t="s">
        <v>178</v>
      </c>
      <c r="K129" s="5" t="s">
        <v>485</v>
      </c>
      <c r="L129" s="17"/>
      <c r="M129" s="17"/>
      <c r="N129" s="5" t="s">
        <v>77</v>
      </c>
      <c r="O129" s="19">
        <v>46234.0</v>
      </c>
      <c r="P129" s="20"/>
      <c r="Q129" s="26">
        <v>20.0</v>
      </c>
      <c r="R129" s="26">
        <v>20.0</v>
      </c>
      <c r="S129" s="28"/>
      <c r="T129" s="21" t="str">
        <f t="shared" si="3"/>
        <v>4. DADOS E TECNOLOGIA - PDPJ - Serviço de Peticionamento</v>
      </c>
      <c r="U129" s="22">
        <f t="shared" si="4"/>
        <v>20</v>
      </c>
      <c r="V129" s="23">
        <f>IFERROR(VLOOKUP(T129,'Parcial - Prestação de contas'!A:D,4, ),0)</f>
        <v>0</v>
      </c>
    </row>
    <row r="130">
      <c r="A130" s="10" t="s">
        <v>379</v>
      </c>
      <c r="B130" s="10" t="s">
        <v>489</v>
      </c>
      <c r="C130" s="11" t="s">
        <v>490</v>
      </c>
      <c r="D130" s="12" t="s">
        <v>491</v>
      </c>
      <c r="E130" s="12" t="s">
        <v>492</v>
      </c>
      <c r="F130" s="11">
        <v>25.0</v>
      </c>
      <c r="G130" s="13">
        <f t="shared" si="1"/>
        <v>0</v>
      </c>
      <c r="H130" s="14">
        <f t="shared" si="7"/>
        <v>0</v>
      </c>
      <c r="I130" s="38" t="s">
        <v>384</v>
      </c>
      <c r="J130" s="25" t="s">
        <v>178</v>
      </c>
      <c r="K130" s="5" t="s">
        <v>485</v>
      </c>
      <c r="L130" s="17"/>
      <c r="M130" s="17"/>
      <c r="N130" s="5" t="s">
        <v>480</v>
      </c>
      <c r="O130" s="19">
        <v>46234.0</v>
      </c>
      <c r="P130" s="20"/>
      <c r="Q130" s="26">
        <v>25.0</v>
      </c>
      <c r="R130" s="26">
        <v>25.0</v>
      </c>
      <c r="S130" s="28"/>
      <c r="T130" s="21" t="str">
        <f t="shared" si="3"/>
        <v>4. DADOS E TECNOLOGIA - Codex - Proporção de casos novos</v>
      </c>
      <c r="U130" s="22">
        <f t="shared" si="4"/>
        <v>25</v>
      </c>
      <c r="V130" s="23">
        <f>IFERROR(VLOOKUP(T130,'Parcial - Prestação de contas'!A:D,4, ),0)</f>
        <v>0</v>
      </c>
    </row>
    <row r="131">
      <c r="A131" s="10" t="s">
        <v>379</v>
      </c>
      <c r="B131" s="10" t="s">
        <v>489</v>
      </c>
      <c r="C131" s="11" t="s">
        <v>493</v>
      </c>
      <c r="D131" s="12" t="s">
        <v>494</v>
      </c>
      <c r="E131" s="12" t="s">
        <v>495</v>
      </c>
      <c r="F131" s="11">
        <v>25.0</v>
      </c>
      <c r="G131" s="13">
        <f t="shared" si="1"/>
        <v>0</v>
      </c>
      <c r="H131" s="14">
        <f t="shared" si="7"/>
        <v>0</v>
      </c>
      <c r="I131" s="38" t="s">
        <v>384</v>
      </c>
      <c r="J131" s="25" t="s">
        <v>178</v>
      </c>
      <c r="K131" s="5" t="s">
        <v>485</v>
      </c>
      <c r="L131" s="17"/>
      <c r="M131" s="17"/>
      <c r="N131" s="5" t="s">
        <v>480</v>
      </c>
      <c r="O131" s="19">
        <v>46234.0</v>
      </c>
      <c r="P131" s="20"/>
      <c r="Q131" s="26">
        <v>25.0</v>
      </c>
      <c r="R131" s="26">
        <v>25.0</v>
      </c>
      <c r="S131" s="28"/>
      <c r="T131" s="21" t="str">
        <f t="shared" si="3"/>
        <v>4. DADOS E TECNOLOGIA - Codex - Proporção de casos baixados</v>
      </c>
      <c r="U131" s="22">
        <f t="shared" si="4"/>
        <v>25</v>
      </c>
      <c r="V131" s="23">
        <f>IFERROR(VLOOKUP(T131,'Parcial - Prestação de contas'!A:D,4, ),0)</f>
        <v>0</v>
      </c>
    </row>
    <row r="132">
      <c r="A132" s="10" t="s">
        <v>379</v>
      </c>
      <c r="B132" s="10" t="s">
        <v>489</v>
      </c>
      <c r="C132" s="11" t="s">
        <v>496</v>
      </c>
      <c r="D132" s="12" t="s">
        <v>497</v>
      </c>
      <c r="E132" s="12" t="s">
        <v>498</v>
      </c>
      <c r="F132" s="11">
        <v>10.0</v>
      </c>
      <c r="G132" s="13">
        <f t="shared" si="1"/>
        <v>0</v>
      </c>
      <c r="H132" s="14">
        <f t="shared" si="7"/>
        <v>0</v>
      </c>
      <c r="I132" s="38" t="s">
        <v>384</v>
      </c>
      <c r="J132" s="25" t="s">
        <v>178</v>
      </c>
      <c r="K132" s="5" t="s">
        <v>485</v>
      </c>
      <c r="L132" s="17"/>
      <c r="M132" s="17"/>
      <c r="N132" s="5" t="s">
        <v>77</v>
      </c>
      <c r="O132" s="19">
        <v>46234.0</v>
      </c>
      <c r="P132" s="20"/>
      <c r="Q132" s="26">
        <v>10.0</v>
      </c>
      <c r="R132" s="26">
        <v>10.0</v>
      </c>
      <c r="S132" s="28"/>
      <c r="T132" s="21" t="str">
        <f t="shared" si="3"/>
        <v>4. DADOS E TECNOLOGIA - Codex - Correlação entre órgão judiciais singulares e locais</v>
      </c>
      <c r="U132" s="22">
        <f t="shared" si="4"/>
        <v>10</v>
      </c>
      <c r="V132" s="23">
        <f>IFERROR(VLOOKUP(T132,'Parcial - Prestação de contas'!A:D,4, ),0)</f>
        <v>0</v>
      </c>
    </row>
    <row r="133">
      <c r="A133" s="10" t="s">
        <v>379</v>
      </c>
      <c r="B133" s="10" t="s">
        <v>489</v>
      </c>
      <c r="C133" s="11" t="s">
        <v>499</v>
      </c>
      <c r="D133" s="12" t="s">
        <v>500</v>
      </c>
      <c r="E133" s="12" t="s">
        <v>501</v>
      </c>
      <c r="F133" s="11">
        <v>10.0</v>
      </c>
      <c r="G133" s="13">
        <f t="shared" si="1"/>
        <v>0</v>
      </c>
      <c r="H133" s="14">
        <f t="shared" si="7"/>
        <v>0</v>
      </c>
      <c r="I133" s="38" t="s">
        <v>384</v>
      </c>
      <c r="J133" s="25" t="s">
        <v>178</v>
      </c>
      <c r="K133" s="5" t="s">
        <v>485</v>
      </c>
      <c r="L133" s="17"/>
      <c r="M133" s="17"/>
      <c r="N133" s="5" t="s">
        <v>77</v>
      </c>
      <c r="O133" s="19">
        <v>46234.0</v>
      </c>
      <c r="P133" s="20"/>
      <c r="Q133" s="26">
        <v>10.0</v>
      </c>
      <c r="R133" s="26">
        <v>10.0</v>
      </c>
      <c r="S133" s="28"/>
      <c r="T133" s="21" t="str">
        <f t="shared" si="3"/>
        <v>4. DADOS E TECNOLOGIA - Codex - Processos eletrônicos com classe processual válida</v>
      </c>
      <c r="U133" s="22">
        <f t="shared" si="4"/>
        <v>10</v>
      </c>
      <c r="V133" s="23">
        <f>IFERROR(VLOOKUP(T133,'Parcial - Prestação de contas'!A:D,4, ),0)</f>
        <v>0</v>
      </c>
    </row>
    <row r="134">
      <c r="A134" s="10" t="s">
        <v>379</v>
      </c>
      <c r="B134" s="10" t="s">
        <v>489</v>
      </c>
      <c r="C134" s="11" t="s">
        <v>502</v>
      </c>
      <c r="D134" s="12" t="s">
        <v>503</v>
      </c>
      <c r="E134" s="12" t="s">
        <v>504</v>
      </c>
      <c r="F134" s="11">
        <v>10.0</v>
      </c>
      <c r="G134" s="13">
        <f t="shared" si="1"/>
        <v>0</v>
      </c>
      <c r="H134" s="14">
        <f t="shared" si="7"/>
        <v>0</v>
      </c>
      <c r="I134" s="38" t="s">
        <v>384</v>
      </c>
      <c r="J134" s="25" t="s">
        <v>178</v>
      </c>
      <c r="K134" s="5" t="s">
        <v>485</v>
      </c>
      <c r="L134" s="17"/>
      <c r="M134" s="17"/>
      <c r="N134" s="5" t="s">
        <v>77</v>
      </c>
      <c r="O134" s="19">
        <v>46234.0</v>
      </c>
      <c r="P134" s="20"/>
      <c r="Q134" s="26">
        <v>10.0</v>
      </c>
      <c r="R134" s="26">
        <v>10.0</v>
      </c>
      <c r="S134" s="28"/>
      <c r="T134" s="21" t="str">
        <f t="shared" si="3"/>
        <v>4. DADOS E TECNOLOGIA - Codex - Processos eletrônicos com assuntos válidos</v>
      </c>
      <c r="U134" s="22">
        <f t="shared" si="4"/>
        <v>10</v>
      </c>
      <c r="V134" s="23">
        <f>IFERROR(VLOOKUP(T134,'Parcial - Prestação de contas'!A:D,4, ),0)</f>
        <v>0</v>
      </c>
    </row>
    <row r="135">
      <c r="A135" s="10" t="s">
        <v>379</v>
      </c>
      <c r="B135" s="10" t="s">
        <v>489</v>
      </c>
      <c r="C135" s="11" t="s">
        <v>505</v>
      </c>
      <c r="D135" s="12" t="s">
        <v>506</v>
      </c>
      <c r="E135" s="12" t="s">
        <v>507</v>
      </c>
      <c r="F135" s="11">
        <v>35.0</v>
      </c>
      <c r="G135" s="13">
        <f t="shared" si="1"/>
        <v>0</v>
      </c>
      <c r="H135" s="14">
        <f t="shared" si="7"/>
        <v>0</v>
      </c>
      <c r="I135" s="38" t="s">
        <v>384</v>
      </c>
      <c r="J135" s="25" t="s">
        <v>178</v>
      </c>
      <c r="K135" s="5" t="s">
        <v>485</v>
      </c>
      <c r="L135" s="17"/>
      <c r="M135" s="17"/>
      <c r="N135" s="5" t="s">
        <v>480</v>
      </c>
      <c r="O135" s="19">
        <v>46234.0</v>
      </c>
      <c r="P135" s="20"/>
      <c r="Q135" s="26">
        <v>35.0</v>
      </c>
      <c r="R135" s="26">
        <v>35.0</v>
      </c>
      <c r="S135" s="28"/>
      <c r="T135" s="21" t="str">
        <f t="shared" si="3"/>
        <v>4. DADOS E TECNOLOGIA - Codex - Latência de Transmissão</v>
      </c>
      <c r="U135" s="22">
        <f t="shared" si="4"/>
        <v>35</v>
      </c>
      <c r="V135" s="23">
        <f>IFERROR(VLOOKUP(T135,'Parcial - Prestação de contas'!A:D,4, ),0)</f>
        <v>0</v>
      </c>
    </row>
    <row r="136">
      <c r="A136" s="10" t="s">
        <v>379</v>
      </c>
      <c r="B136" s="10" t="s">
        <v>508</v>
      </c>
      <c r="C136" s="11" t="s">
        <v>509</v>
      </c>
      <c r="D136" s="12" t="s">
        <v>508</v>
      </c>
      <c r="E136" s="12" t="s">
        <v>510</v>
      </c>
      <c r="F136" s="11">
        <v>30.0</v>
      </c>
      <c r="G136" s="13">
        <f t="shared" si="1"/>
        <v>0</v>
      </c>
      <c r="H136" s="14">
        <f t="shared" si="7"/>
        <v>0</v>
      </c>
      <c r="I136" s="38" t="s">
        <v>384</v>
      </c>
      <c r="J136" s="25" t="s">
        <v>28</v>
      </c>
      <c r="K136" s="5" t="s">
        <v>59</v>
      </c>
      <c r="L136" s="17"/>
      <c r="M136" s="17"/>
      <c r="N136" s="5" t="s">
        <v>77</v>
      </c>
      <c r="O136" s="19">
        <v>46234.0</v>
      </c>
      <c r="P136" s="20"/>
      <c r="Q136" s="26">
        <v>30.0</v>
      </c>
      <c r="R136" s="26">
        <v>30.0</v>
      </c>
      <c r="S136" s="28"/>
      <c r="T136" s="21" t="str">
        <f t="shared" si="3"/>
        <v>4. DADOS E TECNOLOGIA - PID</v>
      </c>
      <c r="U136" s="22">
        <f t="shared" si="4"/>
        <v>30</v>
      </c>
      <c r="V136" s="23">
        <f>IFERROR(VLOOKUP(T136,'Parcial - Prestação de contas'!A:D,4, ),0)</f>
        <v>0</v>
      </c>
    </row>
    <row r="137">
      <c r="A137" s="10" t="s">
        <v>379</v>
      </c>
      <c r="B137" s="10" t="s">
        <v>511</v>
      </c>
      <c r="C137" s="11" t="s">
        <v>512</v>
      </c>
      <c r="D137" s="12" t="s">
        <v>511</v>
      </c>
      <c r="E137" s="12" t="s">
        <v>513</v>
      </c>
      <c r="F137" s="11">
        <v>0.0</v>
      </c>
      <c r="G137" s="13">
        <f t="shared" si="1"/>
        <v>0</v>
      </c>
      <c r="H137" s="14">
        <f t="shared" si="7"/>
        <v>0</v>
      </c>
      <c r="I137" s="38" t="s">
        <v>384</v>
      </c>
      <c r="J137" s="25" t="s">
        <v>323</v>
      </c>
      <c r="K137" s="5" t="s">
        <v>514</v>
      </c>
      <c r="L137" s="18" t="s">
        <v>140</v>
      </c>
      <c r="M137" s="18" t="s">
        <v>511</v>
      </c>
      <c r="N137" s="5" t="s">
        <v>81</v>
      </c>
      <c r="O137" s="19">
        <v>46234.0</v>
      </c>
      <c r="P137" s="20"/>
      <c r="Q137" s="28"/>
      <c r="R137" s="26"/>
      <c r="S137" s="28"/>
      <c r="T137" s="21" t="str">
        <f t="shared" si="3"/>
        <v>4. DADOS E TECNOLOGIA - BNMP</v>
      </c>
      <c r="U137" s="22">
        <f t="shared" si="4"/>
        <v>0</v>
      </c>
      <c r="V137" s="23">
        <f>IFERROR(VLOOKUP(T137,'Parcial - Prestação de contas'!A:D,4, ),0)</f>
        <v>0</v>
      </c>
    </row>
    <row r="138">
      <c r="A138" s="10" t="s">
        <v>379</v>
      </c>
      <c r="B138" s="10" t="s">
        <v>515</v>
      </c>
      <c r="C138" s="11" t="s">
        <v>516</v>
      </c>
      <c r="D138" s="12" t="s">
        <v>515</v>
      </c>
      <c r="E138" s="12" t="s">
        <v>517</v>
      </c>
      <c r="F138" s="11">
        <v>20.0</v>
      </c>
      <c r="G138" s="13">
        <f t="shared" si="1"/>
        <v>0</v>
      </c>
      <c r="H138" s="14">
        <f t="shared" si="7"/>
        <v>0</v>
      </c>
      <c r="I138" s="38" t="s">
        <v>384</v>
      </c>
      <c r="J138" s="25" t="s">
        <v>178</v>
      </c>
      <c r="K138" s="5" t="s">
        <v>386</v>
      </c>
      <c r="L138" s="17"/>
      <c r="M138" s="18" t="s">
        <v>518</v>
      </c>
      <c r="N138" s="5" t="s">
        <v>519</v>
      </c>
      <c r="O138" s="19">
        <v>46234.0</v>
      </c>
      <c r="P138" s="20"/>
      <c r="Q138" s="26">
        <v>20.0</v>
      </c>
      <c r="R138" s="26"/>
      <c r="S138" s="26" t="s">
        <v>32</v>
      </c>
      <c r="T138" s="21" t="str">
        <f t="shared" si="3"/>
        <v>4. DADOS E TECNOLOGIA - Domicílio Eletrônico</v>
      </c>
      <c r="U138" s="22">
        <f t="shared" si="4"/>
        <v>20</v>
      </c>
      <c r="V138" s="23">
        <f>IFERROR(VLOOKUP(T138,'Parcial - Prestação de contas'!A:D,4, ),0)</f>
        <v>0</v>
      </c>
    </row>
    <row r="139">
      <c r="A139" s="10" t="s">
        <v>379</v>
      </c>
      <c r="B139" s="10" t="s">
        <v>520</v>
      </c>
      <c r="C139" s="11" t="s">
        <v>521</v>
      </c>
      <c r="D139" s="12" t="s">
        <v>520</v>
      </c>
      <c r="E139" s="12" t="s">
        <v>522</v>
      </c>
      <c r="F139" s="11">
        <v>20.0</v>
      </c>
      <c r="G139" s="13">
        <f t="shared" si="1"/>
        <v>0</v>
      </c>
      <c r="H139" s="14">
        <f t="shared" si="7"/>
        <v>0</v>
      </c>
      <c r="I139" s="38" t="s">
        <v>384</v>
      </c>
      <c r="J139" s="25" t="s">
        <v>178</v>
      </c>
      <c r="K139" s="5" t="s">
        <v>386</v>
      </c>
      <c r="L139" s="17"/>
      <c r="M139" s="18" t="s">
        <v>518</v>
      </c>
      <c r="N139" s="5" t="s">
        <v>519</v>
      </c>
      <c r="O139" s="19">
        <v>46234.0</v>
      </c>
      <c r="P139" s="20"/>
      <c r="Q139" s="26">
        <v>20.0</v>
      </c>
      <c r="R139" s="26"/>
      <c r="S139" s="26" t="s">
        <v>32</v>
      </c>
      <c r="T139" s="21" t="str">
        <f t="shared" si="3"/>
        <v>4. DADOS E TECNOLOGIA - DJEN</v>
      </c>
      <c r="U139" s="22">
        <f t="shared" si="4"/>
        <v>20</v>
      </c>
      <c r="V139" s="23">
        <f>IFERROR(VLOOKUP(T139,'Parcial - Prestação de contas'!A:D,4, ),0)</f>
        <v>0</v>
      </c>
    </row>
    <row r="140">
      <c r="A140" s="10" t="s">
        <v>523</v>
      </c>
      <c r="B140" s="10" t="s">
        <v>524</v>
      </c>
      <c r="C140" s="18">
        <v>1.0</v>
      </c>
      <c r="D140" s="12" t="s">
        <v>525</v>
      </c>
      <c r="E140" s="12" t="s">
        <v>526</v>
      </c>
      <c r="F140" s="18">
        <v>3.0</v>
      </c>
      <c r="G140" s="13">
        <f t="shared" si="1"/>
        <v>0</v>
      </c>
      <c r="H140" s="14">
        <f t="shared" ref="H140:H225" si="8">G140/F140</f>
        <v>0</v>
      </c>
      <c r="I140" s="15" t="s">
        <v>527</v>
      </c>
      <c r="J140" s="25" t="s">
        <v>51</v>
      </c>
      <c r="K140" s="5" t="s">
        <v>59</v>
      </c>
      <c r="L140" s="17"/>
      <c r="M140" s="5"/>
      <c r="N140" s="5" t="s">
        <v>528</v>
      </c>
      <c r="O140" s="19">
        <v>46112.0</v>
      </c>
      <c r="P140" s="20"/>
      <c r="Q140" s="26">
        <v>3.0</v>
      </c>
      <c r="R140" s="26">
        <v>3.0</v>
      </c>
      <c r="S140" s="28"/>
      <c r="T140" s="21" t="str">
        <f t="shared" si="3"/>
        <v>3. TRANSPARÊNCIA - GESTÃO - Normativo do Planejamento Estratégico</v>
      </c>
      <c r="U140" s="22">
        <f t="shared" si="4"/>
        <v>3</v>
      </c>
      <c r="V140" s="23">
        <f>IFERROR(VLOOKUP(T140,'Parcial - Prestação de contas'!A:D,4, ),0)</f>
        <v>0</v>
      </c>
    </row>
    <row r="141">
      <c r="A141" s="10" t="s">
        <v>523</v>
      </c>
      <c r="B141" s="10" t="s">
        <v>524</v>
      </c>
      <c r="C141" s="18">
        <v>2.0</v>
      </c>
      <c r="D141" s="12" t="s">
        <v>529</v>
      </c>
      <c r="E141" s="12" t="s">
        <v>530</v>
      </c>
      <c r="F141" s="18">
        <v>3.0</v>
      </c>
      <c r="G141" s="13">
        <f t="shared" si="1"/>
        <v>0</v>
      </c>
      <c r="H141" s="14">
        <f t="shared" si="8"/>
        <v>0</v>
      </c>
      <c r="I141" s="15" t="s">
        <v>527</v>
      </c>
      <c r="J141" s="16" t="s">
        <v>51</v>
      </c>
      <c r="K141" s="5" t="s">
        <v>59</v>
      </c>
      <c r="L141" s="17"/>
      <c r="M141" s="5"/>
      <c r="N141" s="5" t="s">
        <v>528</v>
      </c>
      <c r="O141" s="19">
        <v>46112.0</v>
      </c>
      <c r="P141" s="20"/>
      <c r="Q141" s="26">
        <v>3.0</v>
      </c>
      <c r="R141" s="26">
        <v>3.0</v>
      </c>
      <c r="S141" s="28"/>
      <c r="T141" s="21" t="str">
        <f t="shared" si="3"/>
        <v>3. TRANSPARÊNCIA - GESTÃO - Resultados do Planejamento Estratégico</v>
      </c>
      <c r="U141" s="22">
        <f t="shared" si="4"/>
        <v>3</v>
      </c>
      <c r="V141" s="23">
        <f>IFERROR(VLOOKUP(T141,'Parcial - Prestação de contas'!A:D,4, ),0)</f>
        <v>0</v>
      </c>
    </row>
    <row r="142">
      <c r="A142" s="10" t="s">
        <v>523</v>
      </c>
      <c r="B142" s="10" t="s">
        <v>524</v>
      </c>
      <c r="C142" s="18">
        <v>3.0</v>
      </c>
      <c r="D142" s="12" t="s">
        <v>531</v>
      </c>
      <c r="E142" s="12" t="s">
        <v>532</v>
      </c>
      <c r="F142" s="18">
        <v>3.0</v>
      </c>
      <c r="G142" s="13">
        <f t="shared" si="1"/>
        <v>0</v>
      </c>
      <c r="H142" s="14">
        <f t="shared" si="8"/>
        <v>0</v>
      </c>
      <c r="I142" s="15" t="s">
        <v>527</v>
      </c>
      <c r="J142" s="25" t="s">
        <v>28</v>
      </c>
      <c r="K142" s="5" t="s">
        <v>533</v>
      </c>
      <c r="L142" s="17"/>
      <c r="M142" s="5"/>
      <c r="N142" s="5" t="s">
        <v>528</v>
      </c>
      <c r="O142" s="19">
        <v>46112.0</v>
      </c>
      <c r="P142" s="20"/>
      <c r="Q142" s="26">
        <v>3.0</v>
      </c>
      <c r="R142" s="26">
        <v>3.0</v>
      </c>
      <c r="S142" s="28"/>
      <c r="T142" s="21" t="str">
        <f t="shared" si="3"/>
        <v>3. TRANSPARÊNCIA - GESTÃO - Registro das competências e responsabilidades do órgão</v>
      </c>
      <c r="U142" s="22">
        <f t="shared" si="4"/>
        <v>3</v>
      </c>
      <c r="V142" s="23">
        <f>IFERROR(VLOOKUP(T142,'Parcial - Prestação de contas'!A:D,4, ),0)</f>
        <v>0</v>
      </c>
    </row>
    <row r="143">
      <c r="A143" s="10" t="s">
        <v>523</v>
      </c>
      <c r="B143" s="10" t="s">
        <v>524</v>
      </c>
      <c r="C143" s="18">
        <v>4.0</v>
      </c>
      <c r="D143" s="12" t="s">
        <v>534</v>
      </c>
      <c r="E143" s="12" t="s">
        <v>535</v>
      </c>
      <c r="F143" s="18">
        <v>2.0</v>
      </c>
      <c r="G143" s="13">
        <f t="shared" si="1"/>
        <v>0</v>
      </c>
      <c r="H143" s="14">
        <f t="shared" si="8"/>
        <v>0</v>
      </c>
      <c r="I143" s="15" t="s">
        <v>527</v>
      </c>
      <c r="J143" s="25" t="s">
        <v>51</v>
      </c>
      <c r="K143" s="5" t="s">
        <v>59</v>
      </c>
      <c r="L143" s="17"/>
      <c r="M143" s="5"/>
      <c r="N143" s="5" t="s">
        <v>528</v>
      </c>
      <c r="O143" s="19">
        <v>46112.0</v>
      </c>
      <c r="P143" s="20"/>
      <c r="Q143" s="26">
        <v>2.0</v>
      </c>
      <c r="R143" s="26">
        <v>2.0</v>
      </c>
      <c r="S143" s="28"/>
      <c r="T143" s="21" t="str">
        <f t="shared" si="3"/>
        <v>3. TRANSPARÊNCIA - GESTÃO - Estrutura Organizacional</v>
      </c>
      <c r="U143" s="22">
        <f t="shared" si="4"/>
        <v>2</v>
      </c>
      <c r="V143" s="23">
        <f>IFERROR(VLOOKUP(T143,'Parcial - Prestação de contas'!A:D,4, ),0)</f>
        <v>0</v>
      </c>
    </row>
    <row r="144">
      <c r="A144" s="10" t="s">
        <v>523</v>
      </c>
      <c r="B144" s="10" t="s">
        <v>524</v>
      </c>
      <c r="C144" s="18">
        <v>5.0</v>
      </c>
      <c r="D144" s="12" t="s">
        <v>536</v>
      </c>
      <c r="E144" s="12" t="s">
        <v>537</v>
      </c>
      <c r="F144" s="18">
        <v>3.0</v>
      </c>
      <c r="G144" s="13">
        <f t="shared" si="1"/>
        <v>0</v>
      </c>
      <c r="H144" s="14">
        <f t="shared" si="8"/>
        <v>0</v>
      </c>
      <c r="I144" s="15" t="s">
        <v>527</v>
      </c>
      <c r="J144" s="25" t="s">
        <v>527</v>
      </c>
      <c r="K144" s="5" t="s">
        <v>533</v>
      </c>
      <c r="L144" s="17"/>
      <c r="M144" s="18"/>
      <c r="N144" s="5" t="s">
        <v>528</v>
      </c>
      <c r="O144" s="19">
        <v>46112.0</v>
      </c>
      <c r="P144" s="20"/>
      <c r="Q144" s="26">
        <v>3.0</v>
      </c>
      <c r="R144" s="26">
        <v>0.0</v>
      </c>
      <c r="S144" s="28"/>
      <c r="T144" s="21" t="str">
        <f t="shared" si="3"/>
        <v>3. TRANSPARÊNCIA - GESTÃO - Atos Normativos Expedidos</v>
      </c>
      <c r="U144" s="22">
        <f t="shared" si="4"/>
        <v>3</v>
      </c>
      <c r="V144" s="23">
        <f>IFERROR(VLOOKUP(T144,'Parcial - Prestação de contas'!A:D,4, ),0)</f>
        <v>0</v>
      </c>
    </row>
    <row r="145">
      <c r="A145" s="10" t="s">
        <v>523</v>
      </c>
      <c r="B145" s="10" t="s">
        <v>524</v>
      </c>
      <c r="C145" s="18">
        <v>6.0</v>
      </c>
      <c r="D145" s="12" t="s">
        <v>538</v>
      </c>
      <c r="E145" s="12" t="s">
        <v>539</v>
      </c>
      <c r="F145" s="18">
        <v>3.0</v>
      </c>
      <c r="G145" s="13">
        <f t="shared" si="1"/>
        <v>0</v>
      </c>
      <c r="H145" s="14">
        <f t="shared" si="8"/>
        <v>0</v>
      </c>
      <c r="I145" s="15" t="s">
        <v>527</v>
      </c>
      <c r="J145" s="25" t="s">
        <v>51</v>
      </c>
      <c r="K145" s="5" t="s">
        <v>59</v>
      </c>
      <c r="L145" s="17"/>
      <c r="M145" s="17"/>
      <c r="N145" s="5" t="s">
        <v>528</v>
      </c>
      <c r="O145" s="19">
        <v>46112.0</v>
      </c>
      <c r="P145" s="20"/>
      <c r="Q145" s="26">
        <v>3.0</v>
      </c>
      <c r="R145" s="26">
        <v>3.0</v>
      </c>
      <c r="S145" s="28"/>
      <c r="T145" s="21" t="str">
        <f t="shared" si="3"/>
        <v>3. TRANSPARÊNCIA - GESTÃO - Acompanhamento dos Projetos</v>
      </c>
      <c r="U145" s="22">
        <f t="shared" si="4"/>
        <v>3</v>
      </c>
      <c r="V145" s="23">
        <f>IFERROR(VLOOKUP(T145,'Parcial - Prestação de contas'!A:D,4, ),0)</f>
        <v>0</v>
      </c>
    </row>
    <row r="146">
      <c r="A146" s="10" t="s">
        <v>523</v>
      </c>
      <c r="B146" s="10" t="s">
        <v>524</v>
      </c>
      <c r="C146" s="18">
        <v>7.0</v>
      </c>
      <c r="D146" s="12" t="s">
        <v>540</v>
      </c>
      <c r="E146" s="12" t="s">
        <v>541</v>
      </c>
      <c r="F146" s="18">
        <v>3.0</v>
      </c>
      <c r="G146" s="13">
        <f t="shared" si="1"/>
        <v>0</v>
      </c>
      <c r="H146" s="14">
        <f t="shared" si="8"/>
        <v>0</v>
      </c>
      <c r="I146" s="15" t="s">
        <v>527</v>
      </c>
      <c r="J146" s="25" t="s">
        <v>94</v>
      </c>
      <c r="K146" s="5" t="s">
        <v>29</v>
      </c>
      <c r="L146" s="17"/>
      <c r="M146" s="17"/>
      <c r="N146" s="5" t="s">
        <v>528</v>
      </c>
      <c r="O146" s="19">
        <v>46112.0</v>
      </c>
      <c r="P146" s="20"/>
      <c r="Q146" s="26">
        <v>3.0</v>
      </c>
      <c r="R146" s="26">
        <v>3.0</v>
      </c>
      <c r="S146" s="28"/>
      <c r="T146" s="21" t="str">
        <f t="shared" si="3"/>
        <v>3. TRANSPARÊNCIA - GESTÃO - Campo Estatística</v>
      </c>
      <c r="U146" s="22">
        <f t="shared" si="4"/>
        <v>3</v>
      </c>
      <c r="V146" s="23">
        <f>IFERROR(VLOOKUP(T146,'Parcial - Prestação de contas'!A:D,4, ),0)</f>
        <v>0</v>
      </c>
    </row>
    <row r="147">
      <c r="A147" s="10" t="s">
        <v>523</v>
      </c>
      <c r="B147" s="10" t="s">
        <v>524</v>
      </c>
      <c r="C147" s="18">
        <v>8.0</v>
      </c>
      <c r="D147" s="12" t="s">
        <v>542</v>
      </c>
      <c r="E147" s="12" t="s">
        <v>543</v>
      </c>
      <c r="F147" s="18">
        <v>3.0</v>
      </c>
      <c r="G147" s="13">
        <f t="shared" si="1"/>
        <v>0</v>
      </c>
      <c r="H147" s="14">
        <f t="shared" si="8"/>
        <v>0</v>
      </c>
      <c r="I147" s="15" t="s">
        <v>527</v>
      </c>
      <c r="J147" s="25" t="s">
        <v>527</v>
      </c>
      <c r="K147" s="5" t="s">
        <v>544</v>
      </c>
      <c r="L147" s="17"/>
      <c r="M147" s="17"/>
      <c r="N147" s="5" t="s">
        <v>528</v>
      </c>
      <c r="O147" s="19">
        <v>46112.0</v>
      </c>
      <c r="P147" s="20"/>
      <c r="Q147" s="26">
        <v>3.0</v>
      </c>
      <c r="R147" s="26">
        <v>3.0</v>
      </c>
      <c r="S147" s="28"/>
      <c r="T147" s="21" t="str">
        <f t="shared" si="3"/>
        <v>3. TRANSPARÊNCIA - GESTÃO - Acompanhamento dos Processos Administrativos</v>
      </c>
      <c r="U147" s="22">
        <f t="shared" si="4"/>
        <v>3</v>
      </c>
      <c r="V147" s="23">
        <f>IFERROR(VLOOKUP(T147,'Parcial - Prestação de contas'!A:D,4, ),0)</f>
        <v>0</v>
      </c>
    </row>
    <row r="148">
      <c r="A148" s="10" t="s">
        <v>523</v>
      </c>
      <c r="B148" s="10" t="s">
        <v>545</v>
      </c>
      <c r="C148" s="18">
        <v>9.0</v>
      </c>
      <c r="D148" s="12" t="s">
        <v>546</v>
      </c>
      <c r="E148" s="12" t="s">
        <v>547</v>
      </c>
      <c r="F148" s="18">
        <v>3.0</v>
      </c>
      <c r="G148" s="13">
        <f t="shared" si="1"/>
        <v>0</v>
      </c>
      <c r="H148" s="14">
        <f t="shared" si="8"/>
        <v>0</v>
      </c>
      <c r="I148" s="15" t="s">
        <v>527</v>
      </c>
      <c r="J148" s="25" t="s">
        <v>28</v>
      </c>
      <c r="K148" s="5" t="s">
        <v>548</v>
      </c>
      <c r="L148" s="17"/>
      <c r="M148" s="17"/>
      <c r="N148" s="5" t="s">
        <v>528</v>
      </c>
      <c r="O148" s="19">
        <v>46112.0</v>
      </c>
      <c r="P148" s="20"/>
      <c r="Q148" s="26">
        <v>3.0</v>
      </c>
      <c r="R148" s="26">
        <v>3.0</v>
      </c>
      <c r="S148" s="28"/>
      <c r="T148" s="21" t="str">
        <f t="shared" si="3"/>
        <v>3. TRANSPARÊNCIA - AUDIÊNCIAS E SESSÕES - Audiências e sessões - Calendário</v>
      </c>
      <c r="U148" s="22">
        <f t="shared" si="4"/>
        <v>3</v>
      </c>
      <c r="V148" s="23">
        <f>IFERROR(VLOOKUP(T148,'Parcial - Prestação de contas'!A:D,4, ),0)</f>
        <v>0</v>
      </c>
    </row>
    <row r="149">
      <c r="A149" s="10" t="s">
        <v>523</v>
      </c>
      <c r="B149" s="10" t="s">
        <v>545</v>
      </c>
      <c r="C149" s="18">
        <v>10.0</v>
      </c>
      <c r="D149" s="12" t="s">
        <v>549</v>
      </c>
      <c r="E149" s="12" t="s">
        <v>550</v>
      </c>
      <c r="F149" s="18">
        <v>3.0</v>
      </c>
      <c r="G149" s="13">
        <f t="shared" si="1"/>
        <v>0</v>
      </c>
      <c r="H149" s="14">
        <f t="shared" si="8"/>
        <v>0</v>
      </c>
      <c r="I149" s="15" t="s">
        <v>527</v>
      </c>
      <c r="J149" s="25" t="s">
        <v>28</v>
      </c>
      <c r="K149" s="5" t="s">
        <v>548</v>
      </c>
      <c r="L149" s="17"/>
      <c r="M149" s="17"/>
      <c r="N149" s="5" t="s">
        <v>528</v>
      </c>
      <c r="O149" s="19">
        <v>46112.0</v>
      </c>
      <c r="P149" s="20"/>
      <c r="Q149" s="26">
        <v>3.0</v>
      </c>
      <c r="R149" s="26">
        <v>3.0</v>
      </c>
      <c r="S149" s="28"/>
      <c r="T149" s="21" t="str">
        <f t="shared" si="3"/>
        <v>3. TRANSPARÊNCIA - AUDIÊNCIAS E SESSÕES - Audiências e sessões - Pauta</v>
      </c>
      <c r="U149" s="22">
        <f t="shared" si="4"/>
        <v>3</v>
      </c>
      <c r="V149" s="23">
        <f>IFERROR(VLOOKUP(T149,'Parcial - Prestação de contas'!A:D,4, ),0)</f>
        <v>0</v>
      </c>
    </row>
    <row r="150">
      <c r="A150" s="10" t="s">
        <v>523</v>
      </c>
      <c r="B150" s="10" t="s">
        <v>545</v>
      </c>
      <c r="C150" s="18">
        <v>11.0</v>
      </c>
      <c r="D150" s="12" t="s">
        <v>551</v>
      </c>
      <c r="E150" s="12" t="s">
        <v>552</v>
      </c>
      <c r="F150" s="18">
        <v>3.0</v>
      </c>
      <c r="G150" s="13">
        <f t="shared" si="1"/>
        <v>0</v>
      </c>
      <c r="H150" s="14">
        <f t="shared" si="8"/>
        <v>0</v>
      </c>
      <c r="I150" s="15" t="s">
        <v>527</v>
      </c>
      <c r="J150" s="25" t="s">
        <v>28</v>
      </c>
      <c r="K150" s="5" t="s">
        <v>553</v>
      </c>
      <c r="L150" s="17"/>
      <c r="M150" s="17"/>
      <c r="N150" s="5" t="s">
        <v>528</v>
      </c>
      <c r="O150" s="19">
        <v>46112.0</v>
      </c>
      <c r="P150" s="20"/>
      <c r="Q150" s="26">
        <v>3.0</v>
      </c>
      <c r="R150" s="26">
        <v>3.0</v>
      </c>
      <c r="S150" s="28"/>
      <c r="T150" s="21" t="str">
        <f t="shared" si="3"/>
        <v>3. TRANSPARÊNCIA - AUDIÊNCIAS E SESSÕES - Audiências e sessões - transmissão ao vivo</v>
      </c>
      <c r="U150" s="22">
        <f t="shared" si="4"/>
        <v>3</v>
      </c>
      <c r="V150" s="23">
        <f>IFERROR(VLOOKUP(T150,'Parcial - Prestação de contas'!A:D,4, ),0)</f>
        <v>0</v>
      </c>
    </row>
    <row r="151">
      <c r="A151" s="10" t="s">
        <v>523</v>
      </c>
      <c r="B151" s="10" t="s">
        <v>545</v>
      </c>
      <c r="C151" s="18">
        <v>12.0</v>
      </c>
      <c r="D151" s="12" t="s">
        <v>554</v>
      </c>
      <c r="E151" s="12" t="s">
        <v>555</v>
      </c>
      <c r="F151" s="18">
        <v>3.0</v>
      </c>
      <c r="G151" s="13">
        <f t="shared" si="1"/>
        <v>0</v>
      </c>
      <c r="H151" s="14">
        <f t="shared" si="8"/>
        <v>0</v>
      </c>
      <c r="I151" s="15" t="s">
        <v>527</v>
      </c>
      <c r="J151" s="25" t="s">
        <v>28</v>
      </c>
      <c r="K151" s="5" t="s">
        <v>553</v>
      </c>
      <c r="L151" s="17"/>
      <c r="M151" s="17"/>
      <c r="N151" s="5" t="s">
        <v>528</v>
      </c>
      <c r="O151" s="19">
        <v>46112.0</v>
      </c>
      <c r="P151" s="20"/>
      <c r="Q151" s="26">
        <v>3.0</v>
      </c>
      <c r="R151" s="26">
        <v>3.0</v>
      </c>
      <c r="S151" s="28"/>
      <c r="T151" s="21" t="str">
        <f t="shared" si="3"/>
        <v>3. TRANSPARÊNCIA - AUDIÊNCIAS E SESSÕES - Audiências e sessões - Vídeos das sessões</v>
      </c>
      <c r="U151" s="22">
        <f t="shared" si="4"/>
        <v>3</v>
      </c>
      <c r="V151" s="23">
        <f>IFERROR(VLOOKUP(T151,'Parcial - Prestação de contas'!A:D,4, ),0)</f>
        <v>0</v>
      </c>
    </row>
    <row r="152">
      <c r="A152" s="10" t="s">
        <v>523</v>
      </c>
      <c r="B152" s="10" t="s">
        <v>545</v>
      </c>
      <c r="C152" s="18">
        <v>13.0</v>
      </c>
      <c r="D152" s="12" t="s">
        <v>556</v>
      </c>
      <c r="E152" s="12" t="s">
        <v>557</v>
      </c>
      <c r="F152" s="18">
        <v>3.0</v>
      </c>
      <c r="G152" s="13">
        <f t="shared" si="1"/>
        <v>0</v>
      </c>
      <c r="H152" s="14">
        <f t="shared" si="8"/>
        <v>0</v>
      </c>
      <c r="I152" s="15" t="s">
        <v>527</v>
      </c>
      <c r="J152" s="16" t="s">
        <v>135</v>
      </c>
      <c r="K152" s="5" t="s">
        <v>100</v>
      </c>
      <c r="L152" s="17"/>
      <c r="M152" s="17"/>
      <c r="N152" s="5" t="s">
        <v>528</v>
      </c>
      <c r="O152" s="19">
        <v>46112.0</v>
      </c>
      <c r="P152" s="20"/>
      <c r="Q152" s="26">
        <v>3.0</v>
      </c>
      <c r="R152" s="26">
        <v>3.0</v>
      </c>
      <c r="S152" s="28"/>
      <c r="T152" s="21" t="str">
        <f t="shared" si="3"/>
        <v>3. TRANSPARÊNCIA - AUDIÊNCIAS E SESSÕES - Atas Comissões e Comitês</v>
      </c>
      <c r="U152" s="22">
        <f t="shared" si="4"/>
        <v>3</v>
      </c>
      <c r="V152" s="23">
        <f>IFERROR(VLOOKUP(T152,'Parcial - Prestação de contas'!A:D,4, ),0)</f>
        <v>0</v>
      </c>
    </row>
    <row r="153">
      <c r="A153" s="10" t="s">
        <v>523</v>
      </c>
      <c r="B153" s="10" t="s">
        <v>545</v>
      </c>
      <c r="C153" s="18">
        <v>14.0</v>
      </c>
      <c r="D153" s="12" t="s">
        <v>558</v>
      </c>
      <c r="E153" s="12" t="s">
        <v>559</v>
      </c>
      <c r="F153" s="18">
        <v>1.0</v>
      </c>
      <c r="G153" s="13">
        <f t="shared" si="1"/>
        <v>0</v>
      </c>
      <c r="H153" s="14">
        <f t="shared" si="8"/>
        <v>0</v>
      </c>
      <c r="I153" s="15" t="s">
        <v>527</v>
      </c>
      <c r="J153" s="16" t="s">
        <v>135</v>
      </c>
      <c r="K153" s="5" t="s">
        <v>560</v>
      </c>
      <c r="L153" s="17"/>
      <c r="M153" s="17"/>
      <c r="N153" s="5" t="s">
        <v>528</v>
      </c>
      <c r="O153" s="19">
        <v>46112.0</v>
      </c>
      <c r="P153" s="20"/>
      <c r="Q153" s="26">
        <v>1.0</v>
      </c>
      <c r="R153" s="26">
        <v>1.0</v>
      </c>
      <c r="S153" s="28"/>
      <c r="T153" s="21" t="str">
        <f t="shared" si="3"/>
        <v>3. TRANSPARÊNCIA - AUDIÊNCIAS E SESSÕES - Audiências Públicas</v>
      </c>
      <c r="U153" s="22">
        <f t="shared" si="4"/>
        <v>1</v>
      </c>
      <c r="V153" s="23">
        <f>IFERROR(VLOOKUP(T153,'Parcial - Prestação de contas'!A:D,4, ),0)</f>
        <v>0</v>
      </c>
    </row>
    <row r="154">
      <c r="A154" s="10" t="s">
        <v>523</v>
      </c>
      <c r="B154" s="10" t="s">
        <v>561</v>
      </c>
      <c r="C154" s="18">
        <v>15.0</v>
      </c>
      <c r="D154" s="12" t="s">
        <v>562</v>
      </c>
      <c r="E154" s="12" t="s">
        <v>563</v>
      </c>
      <c r="F154" s="18">
        <v>1.0</v>
      </c>
      <c r="G154" s="13">
        <f t="shared" si="1"/>
        <v>0</v>
      </c>
      <c r="H154" s="14">
        <f t="shared" si="8"/>
        <v>0</v>
      </c>
      <c r="I154" s="15" t="s">
        <v>527</v>
      </c>
      <c r="J154" s="25" t="s">
        <v>28</v>
      </c>
      <c r="K154" s="5" t="s">
        <v>564</v>
      </c>
      <c r="L154" s="17"/>
      <c r="M154" s="17"/>
      <c r="N154" s="5" t="s">
        <v>528</v>
      </c>
      <c r="O154" s="19">
        <v>46112.0</v>
      </c>
      <c r="P154" s="20"/>
      <c r="Q154" s="26">
        <v>1.0</v>
      </c>
      <c r="R154" s="26">
        <v>1.0</v>
      </c>
      <c r="S154" s="28"/>
      <c r="T154" s="21" t="str">
        <f t="shared" si="3"/>
        <v>3. TRANSPARÊNCIA - SERVIÇO DE INFORMAÇÕES AO CIDADÃO – SIC - Telefondes e horários de atendimento</v>
      </c>
      <c r="U154" s="22">
        <f t="shared" si="4"/>
        <v>1</v>
      </c>
      <c r="V154" s="23">
        <f>IFERROR(VLOOKUP(T154,'Parcial - Prestação de contas'!A:D,4, ),0)</f>
        <v>0</v>
      </c>
    </row>
    <row r="155">
      <c r="A155" s="10" t="s">
        <v>523</v>
      </c>
      <c r="B155" s="10" t="s">
        <v>561</v>
      </c>
      <c r="C155" s="18">
        <v>16.0</v>
      </c>
      <c r="D155" s="12" t="s">
        <v>565</v>
      </c>
      <c r="E155" s="12" t="s">
        <v>566</v>
      </c>
      <c r="F155" s="18">
        <v>3.0</v>
      </c>
      <c r="G155" s="13">
        <f t="shared" si="1"/>
        <v>0</v>
      </c>
      <c r="H155" s="14">
        <f t="shared" si="8"/>
        <v>0</v>
      </c>
      <c r="I155" s="15" t="s">
        <v>527</v>
      </c>
      <c r="J155" s="16" t="s">
        <v>135</v>
      </c>
      <c r="K155" s="5" t="s">
        <v>567</v>
      </c>
      <c r="L155" s="17"/>
      <c r="M155" s="17"/>
      <c r="N155" s="5" t="s">
        <v>528</v>
      </c>
      <c r="O155" s="19">
        <v>46112.0</v>
      </c>
      <c r="P155" s="20"/>
      <c r="Q155" s="26">
        <v>3.0</v>
      </c>
      <c r="R155" s="26">
        <v>3.0</v>
      </c>
      <c r="S155" s="28"/>
      <c r="T155" s="21" t="str">
        <f t="shared" si="3"/>
        <v>3. TRANSPARÊNCIA - SERVIÇO DE INFORMAÇÕES AO CIDADÃO – SIC - Campo</v>
      </c>
      <c r="U155" s="22">
        <f t="shared" si="4"/>
        <v>3</v>
      </c>
      <c r="V155" s="23">
        <f>IFERROR(VLOOKUP(T155,'Parcial - Prestação de contas'!A:D,4, ),0)</f>
        <v>0</v>
      </c>
    </row>
    <row r="156">
      <c r="A156" s="10" t="s">
        <v>523</v>
      </c>
      <c r="B156" s="10" t="s">
        <v>561</v>
      </c>
      <c r="C156" s="18">
        <v>17.0</v>
      </c>
      <c r="D156" s="12" t="s">
        <v>568</v>
      </c>
      <c r="E156" s="12" t="s">
        <v>569</v>
      </c>
      <c r="F156" s="18">
        <v>1.0</v>
      </c>
      <c r="G156" s="13">
        <f t="shared" si="1"/>
        <v>0</v>
      </c>
      <c r="H156" s="14">
        <f t="shared" si="8"/>
        <v>0</v>
      </c>
      <c r="I156" s="15" t="s">
        <v>527</v>
      </c>
      <c r="J156" s="16" t="s">
        <v>135</v>
      </c>
      <c r="K156" s="5" t="s">
        <v>567</v>
      </c>
      <c r="L156" s="17"/>
      <c r="M156" s="17"/>
      <c r="N156" s="5" t="s">
        <v>528</v>
      </c>
      <c r="O156" s="19">
        <v>46112.0</v>
      </c>
      <c r="P156" s="20"/>
      <c r="Q156" s="26">
        <v>1.0</v>
      </c>
      <c r="R156" s="26">
        <v>1.0</v>
      </c>
      <c r="S156" s="28"/>
      <c r="T156" s="21" t="str">
        <f t="shared" si="3"/>
        <v>3. TRANSPARÊNCIA - SERVIÇO DE INFORMAÇÕES AO CIDADÃO – SIC - Carta de serviços ao cidadão</v>
      </c>
      <c r="U156" s="22">
        <f t="shared" si="4"/>
        <v>1</v>
      </c>
      <c r="V156" s="23">
        <f>IFERROR(VLOOKUP(T156,'Parcial - Prestação de contas'!A:D,4, ),0)</f>
        <v>0</v>
      </c>
    </row>
    <row r="157">
      <c r="A157" s="10" t="s">
        <v>523</v>
      </c>
      <c r="B157" s="10" t="s">
        <v>561</v>
      </c>
      <c r="C157" s="18">
        <v>18.0</v>
      </c>
      <c r="D157" s="12" t="s">
        <v>570</v>
      </c>
      <c r="E157" s="12" t="s">
        <v>571</v>
      </c>
      <c r="F157" s="18">
        <v>3.0</v>
      </c>
      <c r="G157" s="13">
        <f t="shared" si="1"/>
        <v>0</v>
      </c>
      <c r="H157" s="14">
        <f t="shared" si="8"/>
        <v>0</v>
      </c>
      <c r="I157" s="15" t="s">
        <v>527</v>
      </c>
      <c r="J157" s="16" t="s">
        <v>135</v>
      </c>
      <c r="K157" s="5" t="s">
        <v>567</v>
      </c>
      <c r="L157" s="17"/>
      <c r="M157" s="17"/>
      <c r="N157" s="5" t="s">
        <v>528</v>
      </c>
      <c r="O157" s="19">
        <v>46112.0</v>
      </c>
      <c r="P157" s="20"/>
      <c r="Q157" s="26">
        <v>3.0</v>
      </c>
      <c r="R157" s="26">
        <v>3.0</v>
      </c>
      <c r="S157" s="28"/>
      <c r="T157" s="21" t="str">
        <f t="shared" si="3"/>
        <v>3. TRANSPARÊNCIA - SERVIÇO DE INFORMAÇÕES AO CIDADÃO – SIC - Responsável</v>
      </c>
      <c r="U157" s="22">
        <f t="shared" si="4"/>
        <v>3</v>
      </c>
      <c r="V157" s="23">
        <f>IFERROR(VLOOKUP(T157,'Parcial - Prestação de contas'!A:D,4, ),0)</f>
        <v>0</v>
      </c>
    </row>
    <row r="158">
      <c r="A158" s="10" t="s">
        <v>523</v>
      </c>
      <c r="B158" s="10" t="s">
        <v>561</v>
      </c>
      <c r="C158" s="18">
        <v>19.0</v>
      </c>
      <c r="D158" s="12" t="s">
        <v>572</v>
      </c>
      <c r="E158" s="12" t="s">
        <v>573</v>
      </c>
      <c r="F158" s="18">
        <v>2.0</v>
      </c>
      <c r="G158" s="13">
        <f t="shared" si="1"/>
        <v>0</v>
      </c>
      <c r="H158" s="14">
        <f t="shared" si="8"/>
        <v>0</v>
      </c>
      <c r="I158" s="15" t="s">
        <v>527</v>
      </c>
      <c r="J158" s="16" t="s">
        <v>135</v>
      </c>
      <c r="K158" s="5" t="s">
        <v>567</v>
      </c>
      <c r="L158" s="17"/>
      <c r="M158" s="17"/>
      <c r="N158" s="5" t="s">
        <v>528</v>
      </c>
      <c r="O158" s="19">
        <v>46112.0</v>
      </c>
      <c r="P158" s="20"/>
      <c r="Q158" s="26">
        <v>2.0</v>
      </c>
      <c r="R158" s="26">
        <v>2.0</v>
      </c>
      <c r="S158" s="28"/>
      <c r="T158" s="21" t="str">
        <f t="shared" si="3"/>
        <v>3. TRANSPARÊNCIA - SERVIÇO DE INFORMAÇÕES AO CIDADÃO – SIC - Funcionamento</v>
      </c>
      <c r="U158" s="22">
        <f t="shared" si="4"/>
        <v>2</v>
      </c>
      <c r="V158" s="23">
        <f>IFERROR(VLOOKUP(T158,'Parcial - Prestação de contas'!A:D,4, ),0)</f>
        <v>0</v>
      </c>
    </row>
    <row r="159">
      <c r="A159" s="10" t="s">
        <v>523</v>
      </c>
      <c r="B159" s="10" t="s">
        <v>561</v>
      </c>
      <c r="C159" s="18">
        <v>20.0</v>
      </c>
      <c r="D159" s="12" t="s">
        <v>574</v>
      </c>
      <c r="E159" s="12" t="s">
        <v>575</v>
      </c>
      <c r="F159" s="18">
        <v>2.0</v>
      </c>
      <c r="G159" s="13">
        <f t="shared" si="1"/>
        <v>0</v>
      </c>
      <c r="H159" s="14">
        <f t="shared" si="8"/>
        <v>0</v>
      </c>
      <c r="I159" s="15" t="s">
        <v>527</v>
      </c>
      <c r="J159" s="16" t="s">
        <v>135</v>
      </c>
      <c r="K159" s="5" t="s">
        <v>567</v>
      </c>
      <c r="L159" s="17"/>
      <c r="M159" s="17"/>
      <c r="N159" s="5" t="s">
        <v>528</v>
      </c>
      <c r="O159" s="19">
        <v>46112.0</v>
      </c>
      <c r="P159" s="20"/>
      <c r="Q159" s="26">
        <v>2.0</v>
      </c>
      <c r="R159" s="26">
        <v>2.0</v>
      </c>
      <c r="S159" s="28"/>
      <c r="T159" s="21" t="str">
        <f t="shared" si="3"/>
        <v>3. TRANSPARÊNCIA - SERVIÇO DE INFORMAÇÕES AO CIDADÃO – SIC - Acompanhamento das manifestações</v>
      </c>
      <c r="U159" s="22">
        <f t="shared" si="4"/>
        <v>2</v>
      </c>
      <c r="V159" s="23">
        <f>IFERROR(VLOOKUP(T159,'Parcial - Prestação de contas'!A:D,4, ),0)</f>
        <v>0</v>
      </c>
    </row>
    <row r="160">
      <c r="A160" s="10" t="s">
        <v>523</v>
      </c>
      <c r="B160" s="10" t="s">
        <v>561</v>
      </c>
      <c r="C160" s="18">
        <v>21.0</v>
      </c>
      <c r="D160" s="12" t="s">
        <v>576</v>
      </c>
      <c r="E160" s="12" t="s">
        <v>577</v>
      </c>
      <c r="F160" s="18">
        <v>3.0</v>
      </c>
      <c r="G160" s="13">
        <f t="shared" si="1"/>
        <v>0</v>
      </c>
      <c r="H160" s="14">
        <f t="shared" si="8"/>
        <v>0</v>
      </c>
      <c r="I160" s="15" t="s">
        <v>527</v>
      </c>
      <c r="J160" s="16" t="s">
        <v>135</v>
      </c>
      <c r="K160" s="5" t="s">
        <v>567</v>
      </c>
      <c r="L160" s="17"/>
      <c r="M160" s="17"/>
      <c r="N160" s="5" t="s">
        <v>528</v>
      </c>
      <c r="O160" s="19">
        <v>46112.0</v>
      </c>
      <c r="P160" s="20"/>
      <c r="Q160" s="26">
        <v>3.0</v>
      </c>
      <c r="R160" s="26">
        <v>2.0</v>
      </c>
      <c r="S160" s="28"/>
      <c r="T160" s="21" t="str">
        <f t="shared" si="3"/>
        <v>3. TRANSPARÊNCIA - SERVIÇO DE INFORMAÇÕES AO CIDADÃO – SIC - Interposição de recurso contra o indeferimento de pedido de acesso à informação</v>
      </c>
      <c r="U160" s="22">
        <f t="shared" si="4"/>
        <v>3</v>
      </c>
      <c r="V160" s="23">
        <f>IFERROR(VLOOKUP(T160,'Parcial - Prestação de contas'!A:D,4, ),0)</f>
        <v>0</v>
      </c>
    </row>
    <row r="161">
      <c r="A161" s="10" t="s">
        <v>523</v>
      </c>
      <c r="B161" s="10" t="s">
        <v>561</v>
      </c>
      <c r="C161" s="18">
        <v>22.0</v>
      </c>
      <c r="D161" s="12" t="s">
        <v>578</v>
      </c>
      <c r="E161" s="12" t="s">
        <v>579</v>
      </c>
      <c r="F161" s="18">
        <v>1.0</v>
      </c>
      <c r="G161" s="13">
        <f t="shared" si="1"/>
        <v>0</v>
      </c>
      <c r="H161" s="14">
        <f t="shared" si="8"/>
        <v>0</v>
      </c>
      <c r="I161" s="15" t="s">
        <v>527</v>
      </c>
      <c r="J161" s="16" t="s">
        <v>135</v>
      </c>
      <c r="K161" s="5" t="s">
        <v>567</v>
      </c>
      <c r="L161" s="17"/>
      <c r="M161" s="17"/>
      <c r="N161" s="5" t="s">
        <v>528</v>
      </c>
      <c r="O161" s="19">
        <v>46112.0</v>
      </c>
      <c r="P161" s="20"/>
      <c r="Q161" s="26">
        <v>1.0</v>
      </c>
      <c r="R161" s="26">
        <v>1.0</v>
      </c>
      <c r="S161" s="28"/>
      <c r="T161" s="21" t="str">
        <f t="shared" si="3"/>
        <v>3. TRANSPARÊNCIA - SERVIÇO DE INFORMAÇÕES AO CIDADÃO – SIC - FAQ</v>
      </c>
      <c r="U161" s="22">
        <f t="shared" si="4"/>
        <v>1</v>
      </c>
      <c r="V161" s="23">
        <f>IFERROR(VLOOKUP(T161,'Parcial - Prestação de contas'!A:D,4, ),0)</f>
        <v>0</v>
      </c>
    </row>
    <row r="162">
      <c r="A162" s="10" t="s">
        <v>523</v>
      </c>
      <c r="B162" s="10" t="s">
        <v>561</v>
      </c>
      <c r="C162" s="18">
        <v>23.0</v>
      </c>
      <c r="D162" s="12" t="s">
        <v>580</v>
      </c>
      <c r="E162" s="12" t="s">
        <v>581</v>
      </c>
      <c r="F162" s="18">
        <v>1.0</v>
      </c>
      <c r="G162" s="13">
        <f t="shared" si="1"/>
        <v>0</v>
      </c>
      <c r="H162" s="14">
        <f t="shared" si="8"/>
        <v>0</v>
      </c>
      <c r="I162" s="15" t="s">
        <v>527</v>
      </c>
      <c r="J162" s="16" t="s">
        <v>135</v>
      </c>
      <c r="K162" s="5" t="s">
        <v>567</v>
      </c>
      <c r="L162" s="17"/>
      <c r="M162" s="17"/>
      <c r="N162" s="5" t="s">
        <v>528</v>
      </c>
      <c r="O162" s="19">
        <v>46112.0</v>
      </c>
      <c r="P162" s="20"/>
      <c r="Q162" s="26">
        <v>0.0</v>
      </c>
      <c r="R162" s="26">
        <v>1.0</v>
      </c>
      <c r="S162" s="28"/>
      <c r="T162" s="21" t="str">
        <f t="shared" si="3"/>
        <v>3. TRANSPARÊNCIA - SERVIÇO DE INFORMAÇÕES AO CIDADÃO – SIC - Relatório Estatístico</v>
      </c>
      <c r="U162" s="22">
        <f t="shared" si="4"/>
        <v>1</v>
      </c>
      <c r="V162" s="23">
        <f>IFERROR(VLOOKUP(T162,'Parcial - Prestação de contas'!A:D,4, ),0)</f>
        <v>0</v>
      </c>
    </row>
    <row r="163">
      <c r="A163" s="10" t="s">
        <v>523</v>
      </c>
      <c r="B163" s="10" t="s">
        <v>561</v>
      </c>
      <c r="C163" s="18">
        <v>24.0</v>
      </c>
      <c r="D163" s="12" t="s">
        <v>582</v>
      </c>
      <c r="E163" s="12" t="s">
        <v>583</v>
      </c>
      <c r="F163" s="18">
        <v>3.0</v>
      </c>
      <c r="G163" s="13">
        <f t="shared" si="1"/>
        <v>0</v>
      </c>
      <c r="H163" s="14">
        <f t="shared" si="8"/>
        <v>0</v>
      </c>
      <c r="I163" s="15" t="s">
        <v>527</v>
      </c>
      <c r="J163" s="25" t="s">
        <v>178</v>
      </c>
      <c r="K163" s="5" t="s">
        <v>544</v>
      </c>
      <c r="L163" s="17"/>
      <c r="M163" s="17"/>
      <c r="N163" s="5" t="s">
        <v>528</v>
      </c>
      <c r="O163" s="19">
        <v>46112.0</v>
      </c>
      <c r="P163" s="20"/>
      <c r="Q163" s="26">
        <v>3.0</v>
      </c>
      <c r="R163" s="26">
        <v>3.0</v>
      </c>
      <c r="S163" s="28"/>
      <c r="T163" s="21" t="str">
        <f t="shared" si="3"/>
        <v>3. TRANSPARÊNCIA - SERVIÇO DE INFORMAÇÕES AO CIDADÃO – SIC - Link de acesso (PJE, Balcão Virtual, Primeiro Atendimento/Juizados Especiais)</v>
      </c>
      <c r="U163" s="22">
        <f t="shared" si="4"/>
        <v>3</v>
      </c>
      <c r="V163" s="23">
        <f>IFERROR(VLOOKUP(T163,'Parcial - Prestação de contas'!A:D,4, ),0)</f>
        <v>0</v>
      </c>
    </row>
    <row r="164">
      <c r="A164" s="10" t="s">
        <v>523</v>
      </c>
      <c r="B164" s="10" t="s">
        <v>567</v>
      </c>
      <c r="C164" s="18">
        <v>25.0</v>
      </c>
      <c r="D164" s="12" t="s">
        <v>584</v>
      </c>
      <c r="E164" s="12" t="s">
        <v>585</v>
      </c>
      <c r="F164" s="18">
        <v>3.0</v>
      </c>
      <c r="G164" s="13">
        <f t="shared" si="1"/>
        <v>0</v>
      </c>
      <c r="H164" s="14">
        <f t="shared" si="8"/>
        <v>0</v>
      </c>
      <c r="I164" s="15" t="s">
        <v>527</v>
      </c>
      <c r="J164" s="16" t="s">
        <v>135</v>
      </c>
      <c r="K164" s="5" t="s">
        <v>567</v>
      </c>
      <c r="L164" s="17"/>
      <c r="M164" s="17"/>
      <c r="N164" s="5" t="s">
        <v>528</v>
      </c>
      <c r="O164" s="19">
        <v>46112.0</v>
      </c>
      <c r="P164" s="20"/>
      <c r="Q164" s="26">
        <v>3.0</v>
      </c>
      <c r="R164" s="26">
        <v>3.0</v>
      </c>
      <c r="S164" s="28"/>
      <c r="T164" s="21" t="str">
        <f t="shared" si="3"/>
        <v>3. TRANSPARÊNCIA - OUVIDORIA - Registro de manifestação</v>
      </c>
      <c r="U164" s="22">
        <f t="shared" si="4"/>
        <v>3</v>
      </c>
      <c r="V164" s="23">
        <f>IFERROR(VLOOKUP(T164,'Parcial - Prestação de contas'!A:D,4, ),0)</f>
        <v>0</v>
      </c>
    </row>
    <row r="165">
      <c r="A165" s="10" t="s">
        <v>523</v>
      </c>
      <c r="B165" s="10" t="s">
        <v>567</v>
      </c>
      <c r="C165" s="18">
        <v>26.0</v>
      </c>
      <c r="D165" s="12" t="s">
        <v>586</v>
      </c>
      <c r="E165" s="12" t="s">
        <v>587</v>
      </c>
      <c r="F165" s="18">
        <v>2.0</v>
      </c>
      <c r="G165" s="13">
        <f t="shared" si="1"/>
        <v>0</v>
      </c>
      <c r="H165" s="14">
        <f t="shared" si="8"/>
        <v>0</v>
      </c>
      <c r="I165" s="15" t="s">
        <v>527</v>
      </c>
      <c r="J165" s="16" t="s">
        <v>135</v>
      </c>
      <c r="K165" s="5" t="s">
        <v>567</v>
      </c>
      <c r="L165" s="17"/>
      <c r="M165" s="17"/>
      <c r="N165" s="5" t="s">
        <v>528</v>
      </c>
      <c r="O165" s="19">
        <v>46112.0</v>
      </c>
      <c r="P165" s="20"/>
      <c r="Q165" s="26">
        <v>2.0</v>
      </c>
      <c r="R165" s="26">
        <v>2.0</v>
      </c>
      <c r="S165" s="28"/>
      <c r="T165" s="21" t="str">
        <f t="shared" si="3"/>
        <v>3. TRANSPARÊNCIA - OUVIDORIA - Possibilidade de acompamento da manifestação</v>
      </c>
      <c r="U165" s="22">
        <f t="shared" si="4"/>
        <v>2</v>
      </c>
      <c r="V165" s="23">
        <f>IFERROR(VLOOKUP(T165,'Parcial - Prestação de contas'!A:D,4, ),0)</f>
        <v>0</v>
      </c>
    </row>
    <row r="166">
      <c r="A166" s="10" t="s">
        <v>523</v>
      </c>
      <c r="B166" s="10" t="s">
        <v>567</v>
      </c>
      <c r="C166" s="18">
        <v>27.0</v>
      </c>
      <c r="D166" s="12" t="s">
        <v>588</v>
      </c>
      <c r="E166" s="12" t="s">
        <v>589</v>
      </c>
      <c r="F166" s="18">
        <v>2.0</v>
      </c>
      <c r="G166" s="13">
        <f t="shared" si="1"/>
        <v>0</v>
      </c>
      <c r="H166" s="14">
        <f t="shared" si="8"/>
        <v>0</v>
      </c>
      <c r="I166" s="15" t="s">
        <v>527</v>
      </c>
      <c r="J166" s="16" t="s">
        <v>135</v>
      </c>
      <c r="K166" s="5" t="s">
        <v>567</v>
      </c>
      <c r="L166" s="17"/>
      <c r="M166" s="17"/>
      <c r="N166" s="5" t="s">
        <v>528</v>
      </c>
      <c r="O166" s="19">
        <v>46112.0</v>
      </c>
      <c r="P166" s="20"/>
      <c r="Q166" s="26">
        <v>2.0</v>
      </c>
      <c r="R166" s="26">
        <v>2.0</v>
      </c>
      <c r="S166" s="28"/>
      <c r="T166" s="21" t="str">
        <f t="shared" si="3"/>
        <v>3. TRANSPARÊNCIA - OUVIDORIA - Avaliação do Serviço</v>
      </c>
      <c r="U166" s="22">
        <f t="shared" si="4"/>
        <v>2</v>
      </c>
      <c r="V166" s="23">
        <f>IFERROR(VLOOKUP(T166,'Parcial - Prestação de contas'!A:D,4, ),0)</f>
        <v>0</v>
      </c>
    </row>
    <row r="167">
      <c r="A167" s="10" t="s">
        <v>523</v>
      </c>
      <c r="B167" s="10" t="s">
        <v>590</v>
      </c>
      <c r="C167" s="18">
        <v>28.0</v>
      </c>
      <c r="D167" s="12" t="s">
        <v>591</v>
      </c>
      <c r="E167" s="12" t="s">
        <v>592</v>
      </c>
      <c r="F167" s="18">
        <v>3.0</v>
      </c>
      <c r="G167" s="13">
        <f t="shared" si="1"/>
        <v>0</v>
      </c>
      <c r="H167" s="14">
        <f t="shared" si="8"/>
        <v>0</v>
      </c>
      <c r="I167" s="15" t="s">
        <v>527</v>
      </c>
      <c r="J167" s="25" t="s">
        <v>178</v>
      </c>
      <c r="K167" s="5" t="s">
        <v>475</v>
      </c>
      <c r="L167" s="17"/>
      <c r="M167" s="17"/>
      <c r="N167" s="5" t="s">
        <v>528</v>
      </c>
      <c r="O167" s="19">
        <v>46112.0</v>
      </c>
      <c r="P167" s="20"/>
      <c r="Q167" s="26">
        <v>3.0</v>
      </c>
      <c r="R167" s="26">
        <v>0.0</v>
      </c>
      <c r="S167" s="28"/>
      <c r="T167" s="21" t="str">
        <f t="shared" si="3"/>
        <v>3. TRANSPARÊNCIA - TECNOLOGIA DA INFORMAÇÃO E COMUNICAÇÃO - PDTIC</v>
      </c>
      <c r="U167" s="22">
        <f t="shared" si="4"/>
        <v>3</v>
      </c>
      <c r="V167" s="23">
        <f>IFERROR(VLOOKUP(T167,'Parcial - Prestação de contas'!A:D,4, ),0)</f>
        <v>0</v>
      </c>
    </row>
    <row r="168">
      <c r="A168" s="10" t="s">
        <v>523</v>
      </c>
      <c r="B168" s="10" t="s">
        <v>590</v>
      </c>
      <c r="C168" s="18">
        <v>29.0</v>
      </c>
      <c r="D168" s="12" t="s">
        <v>593</v>
      </c>
      <c r="E168" s="12" t="s">
        <v>594</v>
      </c>
      <c r="F168" s="18">
        <v>3.0</v>
      </c>
      <c r="G168" s="13">
        <f t="shared" si="1"/>
        <v>0</v>
      </c>
      <c r="H168" s="14">
        <f t="shared" si="8"/>
        <v>0</v>
      </c>
      <c r="I168" s="15" t="s">
        <v>527</v>
      </c>
      <c r="J168" s="25" t="s">
        <v>178</v>
      </c>
      <c r="K168" s="5" t="s">
        <v>475</v>
      </c>
      <c r="L168" s="17"/>
      <c r="M168" s="17"/>
      <c r="N168" s="5" t="s">
        <v>528</v>
      </c>
      <c r="O168" s="19">
        <v>46112.0</v>
      </c>
      <c r="P168" s="20"/>
      <c r="Q168" s="26">
        <v>3.0</v>
      </c>
      <c r="R168" s="26">
        <v>3.0</v>
      </c>
      <c r="S168" s="28"/>
      <c r="T168" s="21" t="str">
        <f t="shared" si="3"/>
        <v>3. TRANSPARÊNCIA - TECNOLOGIA DA INFORMAÇÃO E COMUNICAÇÃO - Plano de Contratações</v>
      </c>
      <c r="U168" s="22">
        <f t="shared" si="4"/>
        <v>3</v>
      </c>
      <c r="V168" s="23">
        <f>IFERROR(VLOOKUP(T168,'Parcial - Prestação de contas'!A:D,4, ),0)</f>
        <v>0</v>
      </c>
    </row>
    <row r="169">
      <c r="A169" s="10" t="s">
        <v>523</v>
      </c>
      <c r="B169" s="10" t="s">
        <v>590</v>
      </c>
      <c r="C169" s="18">
        <v>30.0</v>
      </c>
      <c r="D169" s="12" t="s">
        <v>595</v>
      </c>
      <c r="E169" s="12" t="s">
        <v>596</v>
      </c>
      <c r="F169" s="18">
        <v>3.0</v>
      </c>
      <c r="G169" s="13">
        <f t="shared" si="1"/>
        <v>0</v>
      </c>
      <c r="H169" s="14">
        <f t="shared" si="8"/>
        <v>0</v>
      </c>
      <c r="I169" s="15" t="s">
        <v>527</v>
      </c>
      <c r="J169" s="25" t="s">
        <v>178</v>
      </c>
      <c r="K169" s="5" t="s">
        <v>475</v>
      </c>
      <c r="L169" s="17"/>
      <c r="M169" s="17"/>
      <c r="N169" s="5" t="s">
        <v>528</v>
      </c>
      <c r="O169" s="19">
        <v>46112.0</v>
      </c>
      <c r="P169" s="20"/>
      <c r="Q169" s="26">
        <v>3.0</v>
      </c>
      <c r="R169" s="26">
        <v>3.0</v>
      </c>
      <c r="S169" s="28"/>
      <c r="T169" s="21" t="str">
        <f t="shared" si="3"/>
        <v>3. TRANSPARÊNCIA - TECNOLOGIA DA INFORMAÇÃO E COMUNICAÇÃO - Painel Visual</v>
      </c>
      <c r="U169" s="22">
        <f t="shared" si="4"/>
        <v>3</v>
      </c>
      <c r="V169" s="23">
        <f>IFERROR(VLOOKUP(T169,'Parcial - Prestação de contas'!A:D,4, ),0)</f>
        <v>0</v>
      </c>
    </row>
    <row r="170">
      <c r="A170" s="10" t="s">
        <v>523</v>
      </c>
      <c r="B170" s="10" t="s">
        <v>590</v>
      </c>
      <c r="C170" s="18">
        <v>31.0</v>
      </c>
      <c r="D170" s="12" t="s">
        <v>597</v>
      </c>
      <c r="E170" s="12" t="s">
        <v>598</v>
      </c>
      <c r="F170" s="18">
        <v>2.0</v>
      </c>
      <c r="G170" s="13">
        <f t="shared" si="1"/>
        <v>0</v>
      </c>
      <c r="H170" s="14">
        <f t="shared" si="8"/>
        <v>0</v>
      </c>
      <c r="I170" s="15" t="s">
        <v>527</v>
      </c>
      <c r="J170" s="25" t="s">
        <v>178</v>
      </c>
      <c r="K170" s="5" t="s">
        <v>475</v>
      </c>
      <c r="L170" s="17"/>
      <c r="M170" s="17"/>
      <c r="N170" s="5" t="s">
        <v>528</v>
      </c>
      <c r="O170" s="19">
        <v>46112.0</v>
      </c>
      <c r="P170" s="20"/>
      <c r="Q170" s="26">
        <v>2.0</v>
      </c>
      <c r="R170" s="26">
        <v>2.0</v>
      </c>
      <c r="S170" s="28"/>
      <c r="T170" s="21" t="str">
        <f t="shared" si="3"/>
        <v>3. TRANSPARÊNCIA - TECNOLOGIA DA INFORMAÇÃO E COMUNICAÇÃO - Extração de relatórios</v>
      </c>
      <c r="U170" s="22">
        <f t="shared" si="4"/>
        <v>2</v>
      </c>
      <c r="V170" s="23">
        <f>IFERROR(VLOOKUP(T170,'Parcial - Prestação de contas'!A:D,4, ),0)</f>
        <v>0</v>
      </c>
    </row>
    <row r="171">
      <c r="A171" s="10" t="s">
        <v>523</v>
      </c>
      <c r="B171" s="10" t="s">
        <v>590</v>
      </c>
      <c r="C171" s="18">
        <v>32.0</v>
      </c>
      <c r="D171" s="12" t="s">
        <v>599</v>
      </c>
      <c r="E171" s="12" t="s">
        <v>600</v>
      </c>
      <c r="F171" s="18">
        <v>2.0</v>
      </c>
      <c r="G171" s="13">
        <f t="shared" si="1"/>
        <v>0</v>
      </c>
      <c r="H171" s="14">
        <f t="shared" si="8"/>
        <v>0</v>
      </c>
      <c r="I171" s="15" t="s">
        <v>527</v>
      </c>
      <c r="J171" s="25" t="s">
        <v>178</v>
      </c>
      <c r="K171" s="5" t="s">
        <v>475</v>
      </c>
      <c r="L171" s="17"/>
      <c r="M171" s="17"/>
      <c r="N171" s="5" t="s">
        <v>528</v>
      </c>
      <c r="O171" s="19">
        <v>46112.0</v>
      </c>
      <c r="P171" s="20"/>
      <c r="Q171" s="26">
        <v>2.0</v>
      </c>
      <c r="R171" s="26">
        <v>2.0</v>
      </c>
      <c r="S171" s="28"/>
      <c r="T171" s="21" t="str">
        <f t="shared" si="3"/>
        <v>3. TRANSPARÊNCIA - TECNOLOGIA DA INFORMAÇÃO E COMUNICAÇÃO - Acesso automatizado</v>
      </c>
      <c r="U171" s="22">
        <f t="shared" si="4"/>
        <v>2</v>
      </c>
      <c r="V171" s="23">
        <f>IFERROR(VLOOKUP(T171,'Parcial - Prestação de contas'!A:D,4, ),0)</f>
        <v>0</v>
      </c>
    </row>
    <row r="172">
      <c r="A172" s="10" t="s">
        <v>523</v>
      </c>
      <c r="B172" s="10" t="s">
        <v>601</v>
      </c>
      <c r="C172" s="18">
        <v>33.0</v>
      </c>
      <c r="D172" s="12" t="s">
        <v>602</v>
      </c>
      <c r="E172" s="12" t="s">
        <v>603</v>
      </c>
      <c r="F172" s="18">
        <v>3.0</v>
      </c>
      <c r="G172" s="13">
        <f t="shared" si="1"/>
        <v>0</v>
      </c>
      <c r="H172" s="14">
        <f t="shared" si="8"/>
        <v>0</v>
      </c>
      <c r="I172" s="15" t="s">
        <v>527</v>
      </c>
      <c r="J172" s="25" t="s">
        <v>51</v>
      </c>
      <c r="K172" s="5" t="s">
        <v>52</v>
      </c>
      <c r="L172" s="17"/>
      <c r="M172" s="17"/>
      <c r="N172" s="5" t="s">
        <v>528</v>
      </c>
      <c r="O172" s="19">
        <v>46112.0</v>
      </c>
      <c r="P172" s="20"/>
      <c r="Q172" s="26">
        <v>3.0</v>
      </c>
      <c r="R172" s="26">
        <v>3.0</v>
      </c>
      <c r="S172" s="28"/>
      <c r="T172" s="21" t="str">
        <f t="shared" si="3"/>
        <v>3. TRANSPARÊNCIA - GESTÃO ORÇAMENTÁRIA - Execução orçamentária - Anexo I</v>
      </c>
      <c r="U172" s="22">
        <f t="shared" si="4"/>
        <v>3</v>
      </c>
      <c r="V172" s="23">
        <f>IFERROR(VLOOKUP(T172,'Parcial - Prestação de contas'!A:D,4, ),0)</f>
        <v>0</v>
      </c>
    </row>
    <row r="173">
      <c r="A173" s="10" t="s">
        <v>523</v>
      </c>
      <c r="B173" s="10" t="s">
        <v>601</v>
      </c>
      <c r="C173" s="18">
        <v>34.0</v>
      </c>
      <c r="D173" s="12" t="s">
        <v>604</v>
      </c>
      <c r="E173" s="12" t="s">
        <v>605</v>
      </c>
      <c r="F173" s="18">
        <v>3.0</v>
      </c>
      <c r="G173" s="13">
        <f t="shared" si="1"/>
        <v>0</v>
      </c>
      <c r="H173" s="14">
        <f t="shared" si="8"/>
        <v>0</v>
      </c>
      <c r="I173" s="15" t="s">
        <v>527</v>
      </c>
      <c r="J173" s="25" t="s">
        <v>51</v>
      </c>
      <c r="K173" s="5" t="s">
        <v>52</v>
      </c>
      <c r="L173" s="17"/>
      <c r="M173" s="17"/>
      <c r="N173" s="5" t="s">
        <v>528</v>
      </c>
      <c r="O173" s="19">
        <v>46112.0</v>
      </c>
      <c r="P173" s="20"/>
      <c r="Q173" s="26">
        <v>3.0</v>
      </c>
      <c r="R173" s="26">
        <v>3.0</v>
      </c>
      <c r="S173" s="28"/>
      <c r="T173" s="21" t="str">
        <f t="shared" si="3"/>
        <v>3. TRANSPARÊNCIA - GESTÃO ORÇAMENTÁRIA - Execução orçamentária - Anexo II</v>
      </c>
      <c r="U173" s="22">
        <f t="shared" si="4"/>
        <v>3</v>
      </c>
      <c r="V173" s="23">
        <f>IFERROR(VLOOKUP(T173,'Parcial - Prestação de contas'!A:D,4, ),0)</f>
        <v>0</v>
      </c>
    </row>
    <row r="174">
      <c r="A174" s="10" t="s">
        <v>523</v>
      </c>
      <c r="B174" s="10" t="s">
        <v>601</v>
      </c>
      <c r="C174" s="18">
        <v>35.0</v>
      </c>
      <c r="D174" s="12" t="s">
        <v>606</v>
      </c>
      <c r="E174" s="12" t="s">
        <v>607</v>
      </c>
      <c r="F174" s="18">
        <v>3.0</v>
      </c>
      <c r="G174" s="13">
        <f t="shared" si="1"/>
        <v>0</v>
      </c>
      <c r="H174" s="14">
        <f t="shared" si="8"/>
        <v>0</v>
      </c>
      <c r="I174" s="15" t="s">
        <v>527</v>
      </c>
      <c r="J174" s="25" t="s">
        <v>51</v>
      </c>
      <c r="K174" s="5" t="s">
        <v>52</v>
      </c>
      <c r="L174" s="17"/>
      <c r="M174" s="17"/>
      <c r="N174" s="5" t="s">
        <v>528</v>
      </c>
      <c r="O174" s="19">
        <v>46112.0</v>
      </c>
      <c r="P174" s="20"/>
      <c r="Q174" s="26">
        <v>3.0</v>
      </c>
      <c r="R174" s="26">
        <v>3.0</v>
      </c>
      <c r="S174" s="28"/>
      <c r="T174" s="21" t="str">
        <f t="shared" si="3"/>
        <v>3. TRANSPARÊNCIA - GESTÃO ORÇAMENTÁRIA - Publicação do QDD</v>
      </c>
      <c r="U174" s="22">
        <f t="shared" si="4"/>
        <v>3</v>
      </c>
      <c r="V174" s="23">
        <f>IFERROR(VLOOKUP(T174,'Parcial - Prestação de contas'!A:D,4, ),0)</f>
        <v>0</v>
      </c>
    </row>
    <row r="175">
      <c r="A175" s="10" t="s">
        <v>523</v>
      </c>
      <c r="B175" s="10" t="s">
        <v>601</v>
      </c>
      <c r="C175" s="18">
        <v>36.0</v>
      </c>
      <c r="D175" s="12" t="s">
        <v>608</v>
      </c>
      <c r="E175" s="12" t="s">
        <v>609</v>
      </c>
      <c r="F175" s="18">
        <v>3.0</v>
      </c>
      <c r="G175" s="13">
        <f t="shared" si="1"/>
        <v>0</v>
      </c>
      <c r="H175" s="14">
        <f t="shared" si="8"/>
        <v>0</v>
      </c>
      <c r="I175" s="15" t="s">
        <v>527</v>
      </c>
      <c r="J175" s="25" t="s">
        <v>51</v>
      </c>
      <c r="K175" s="5" t="s">
        <v>52</v>
      </c>
      <c r="L175" s="17"/>
      <c r="M175" s="17"/>
      <c r="N175" s="5" t="s">
        <v>528</v>
      </c>
      <c r="O175" s="19">
        <v>46112.0</v>
      </c>
      <c r="P175" s="20"/>
      <c r="Q175" s="26">
        <v>3.0</v>
      </c>
      <c r="R175" s="26">
        <v>3.0</v>
      </c>
      <c r="S175" s="28"/>
      <c r="T175" s="21" t="str">
        <f t="shared" si="3"/>
        <v>3. TRANSPARÊNCIA - GESTÃO ORÇAMENTÁRIA - Publicação da LOA</v>
      </c>
      <c r="U175" s="22">
        <f t="shared" si="4"/>
        <v>3</v>
      </c>
      <c r="V175" s="23">
        <f>IFERROR(VLOOKUP(T175,'Parcial - Prestação de contas'!A:D,4, ),0)</f>
        <v>0</v>
      </c>
    </row>
    <row r="176">
      <c r="A176" s="10" t="s">
        <v>523</v>
      </c>
      <c r="B176" s="10" t="s">
        <v>601</v>
      </c>
      <c r="C176" s="18">
        <v>37.0</v>
      </c>
      <c r="D176" s="12" t="s">
        <v>610</v>
      </c>
      <c r="E176" s="12" t="s">
        <v>611</v>
      </c>
      <c r="F176" s="18">
        <v>3.0</v>
      </c>
      <c r="G176" s="13">
        <f t="shared" si="1"/>
        <v>0</v>
      </c>
      <c r="H176" s="14">
        <f t="shared" si="8"/>
        <v>0</v>
      </c>
      <c r="I176" s="15" t="s">
        <v>527</v>
      </c>
      <c r="J176" s="25" t="s">
        <v>51</v>
      </c>
      <c r="K176" s="5" t="s">
        <v>52</v>
      </c>
      <c r="L176" s="17"/>
      <c r="M176" s="17"/>
      <c r="N176" s="5" t="s">
        <v>528</v>
      </c>
      <c r="O176" s="19">
        <v>46112.0</v>
      </c>
      <c r="P176" s="20"/>
      <c r="Q176" s="26">
        <v>3.0</v>
      </c>
      <c r="R176" s="26">
        <v>3.0</v>
      </c>
      <c r="S176" s="28"/>
      <c r="T176" s="21" t="str">
        <f t="shared" si="3"/>
        <v>3. TRANSPARÊNCIA - GESTÃO ORÇAMENTÁRIA - Mapa da Execução Orçamentária do ano anterior</v>
      </c>
      <c r="U176" s="22">
        <f t="shared" si="4"/>
        <v>3</v>
      </c>
      <c r="V176" s="23">
        <f>IFERROR(VLOOKUP(T176,'Parcial - Prestação de contas'!A:D,4, ),0)</f>
        <v>0</v>
      </c>
    </row>
    <row r="177">
      <c r="A177" s="10" t="s">
        <v>523</v>
      </c>
      <c r="B177" s="10" t="s">
        <v>601</v>
      </c>
      <c r="C177" s="18">
        <v>38.0</v>
      </c>
      <c r="D177" s="12" t="s">
        <v>612</v>
      </c>
      <c r="E177" s="12" t="s">
        <v>613</v>
      </c>
      <c r="F177" s="18">
        <v>3.0</v>
      </c>
      <c r="G177" s="13">
        <f t="shared" si="1"/>
        <v>0</v>
      </c>
      <c r="H177" s="14">
        <f t="shared" si="8"/>
        <v>0</v>
      </c>
      <c r="I177" s="15" t="s">
        <v>527</v>
      </c>
      <c r="J177" s="16" t="s">
        <v>51</v>
      </c>
      <c r="K177" s="5" t="s">
        <v>52</v>
      </c>
      <c r="L177" s="17"/>
      <c r="M177" s="17"/>
      <c r="N177" s="5" t="s">
        <v>528</v>
      </c>
      <c r="O177" s="19">
        <v>46112.0</v>
      </c>
      <c r="P177" s="20"/>
      <c r="Q177" s="26">
        <v>3.0</v>
      </c>
      <c r="R177" s="26">
        <v>3.0</v>
      </c>
      <c r="S177" s="28"/>
      <c r="T177" s="21" t="str">
        <f t="shared" si="3"/>
        <v>3. TRANSPARÊNCIA - GESTÃO ORÇAMENTÁRIA - Relatório de Gestão Fiscal</v>
      </c>
      <c r="U177" s="22">
        <f t="shared" si="4"/>
        <v>3</v>
      </c>
      <c r="V177" s="23">
        <f>IFERROR(VLOOKUP(T177,'Parcial - Prestação de contas'!A:D,4, ),0)</f>
        <v>0</v>
      </c>
    </row>
    <row r="178">
      <c r="A178" s="10" t="s">
        <v>523</v>
      </c>
      <c r="B178" s="10" t="s">
        <v>601</v>
      </c>
      <c r="C178" s="18">
        <v>39.0</v>
      </c>
      <c r="D178" s="12" t="s">
        <v>614</v>
      </c>
      <c r="E178" s="12" t="s">
        <v>615</v>
      </c>
      <c r="F178" s="18">
        <v>3.0</v>
      </c>
      <c r="G178" s="13">
        <f t="shared" si="1"/>
        <v>0</v>
      </c>
      <c r="H178" s="14">
        <f t="shared" si="8"/>
        <v>0</v>
      </c>
      <c r="I178" s="15" t="s">
        <v>527</v>
      </c>
      <c r="J178" s="16" t="s">
        <v>51</v>
      </c>
      <c r="K178" s="5" t="s">
        <v>616</v>
      </c>
      <c r="L178" s="17"/>
      <c r="M178" s="17"/>
      <c r="N178" s="5" t="s">
        <v>528</v>
      </c>
      <c r="O178" s="19">
        <v>46112.0</v>
      </c>
      <c r="P178" s="20"/>
      <c r="Q178" s="26">
        <v>3.0</v>
      </c>
      <c r="R178" s="26">
        <v>3.0</v>
      </c>
      <c r="S178" s="28"/>
      <c r="T178" s="21" t="str">
        <f t="shared" si="3"/>
        <v>3. TRANSPARÊNCIA - GESTÃO ORÇAMENTÁRIA - Mapa Anual de Precatórios</v>
      </c>
      <c r="U178" s="22">
        <f t="shared" si="4"/>
        <v>3</v>
      </c>
      <c r="V178" s="23">
        <f>IFERROR(VLOOKUP(T178,'Parcial - Prestação de contas'!A:D,4, ),0)</f>
        <v>0</v>
      </c>
    </row>
    <row r="179">
      <c r="A179" s="10" t="s">
        <v>523</v>
      </c>
      <c r="B179" s="10" t="s">
        <v>601</v>
      </c>
      <c r="C179" s="18">
        <v>40.0</v>
      </c>
      <c r="D179" s="12" t="s">
        <v>617</v>
      </c>
      <c r="E179" s="12" t="s">
        <v>618</v>
      </c>
      <c r="F179" s="18">
        <v>2.0</v>
      </c>
      <c r="G179" s="13">
        <f t="shared" si="1"/>
        <v>0</v>
      </c>
      <c r="H179" s="14">
        <f t="shared" si="8"/>
        <v>0</v>
      </c>
      <c r="I179" s="15" t="s">
        <v>527</v>
      </c>
      <c r="J179" s="16" t="s">
        <v>28</v>
      </c>
      <c r="K179" s="5" t="s">
        <v>619</v>
      </c>
      <c r="L179" s="17"/>
      <c r="M179" s="17"/>
      <c r="N179" s="5" t="s">
        <v>528</v>
      </c>
      <c r="O179" s="19">
        <v>46112.0</v>
      </c>
      <c r="P179" s="20"/>
      <c r="Q179" s="26">
        <v>2.0</v>
      </c>
      <c r="R179" s="26">
        <v>2.0</v>
      </c>
      <c r="S179" s="28"/>
      <c r="T179" s="21" t="str">
        <f t="shared" si="3"/>
        <v>3. TRANSPARÊNCIA - GESTÃO ORÇAMENTÁRIA - Relação das empresas contratadas</v>
      </c>
      <c r="U179" s="22">
        <f t="shared" si="4"/>
        <v>2</v>
      </c>
      <c r="V179" s="23">
        <f>IFERROR(VLOOKUP(T179,'Parcial - Prestação de contas'!A:D,4, ),0)</f>
        <v>0</v>
      </c>
    </row>
    <row r="180">
      <c r="A180" s="10" t="s">
        <v>523</v>
      </c>
      <c r="B180" s="10" t="s">
        <v>620</v>
      </c>
      <c r="C180" s="18">
        <v>41.0</v>
      </c>
      <c r="D180" s="12" t="s">
        <v>621</v>
      </c>
      <c r="E180" s="12" t="s">
        <v>622</v>
      </c>
      <c r="F180" s="18">
        <v>2.0</v>
      </c>
      <c r="G180" s="13">
        <f t="shared" si="1"/>
        <v>0</v>
      </c>
      <c r="H180" s="14">
        <f t="shared" si="8"/>
        <v>0</v>
      </c>
      <c r="I180" s="15" t="s">
        <v>527</v>
      </c>
      <c r="J180" s="16" t="s">
        <v>28</v>
      </c>
      <c r="K180" s="5" t="s">
        <v>619</v>
      </c>
      <c r="L180" s="17"/>
      <c r="M180" s="17"/>
      <c r="N180" s="5" t="s">
        <v>528</v>
      </c>
      <c r="O180" s="19">
        <v>46112.0</v>
      </c>
      <c r="P180" s="20"/>
      <c r="Q180" s="26">
        <v>0.0</v>
      </c>
      <c r="R180" s="26">
        <v>2.0</v>
      </c>
      <c r="S180" s="28"/>
      <c r="T180" s="21" t="str">
        <f t="shared" si="3"/>
        <v>3. TRANSPARÊNCIA - LICITAÇÕES, CONTRATOS E INSTRUMENTOS DE COORPERAÇÃO - Estudos Técnicos Preliminares</v>
      </c>
      <c r="U180" s="22">
        <f t="shared" si="4"/>
        <v>2</v>
      </c>
      <c r="V180" s="23">
        <f>IFERROR(VLOOKUP(T180,'Parcial - Prestação de contas'!A:D,4, ),0)</f>
        <v>0</v>
      </c>
    </row>
    <row r="181">
      <c r="A181" s="10" t="s">
        <v>523</v>
      </c>
      <c r="B181" s="10" t="s">
        <v>620</v>
      </c>
      <c r="C181" s="18">
        <v>42.0</v>
      </c>
      <c r="D181" s="12" t="s">
        <v>623</v>
      </c>
      <c r="E181" s="12" t="s">
        <v>624</v>
      </c>
      <c r="F181" s="18">
        <v>2.0</v>
      </c>
      <c r="G181" s="13">
        <f t="shared" si="1"/>
        <v>0</v>
      </c>
      <c r="H181" s="14">
        <f t="shared" si="8"/>
        <v>0</v>
      </c>
      <c r="I181" s="15" t="s">
        <v>527</v>
      </c>
      <c r="J181" s="16" t="s">
        <v>28</v>
      </c>
      <c r="K181" s="5" t="s">
        <v>619</v>
      </c>
      <c r="L181" s="17"/>
      <c r="M181" s="17"/>
      <c r="N181" s="5" t="s">
        <v>528</v>
      </c>
      <c r="O181" s="19">
        <v>46112.0</v>
      </c>
      <c r="P181" s="20"/>
      <c r="Q181" s="26">
        <v>2.0</v>
      </c>
      <c r="R181" s="26">
        <v>2.0</v>
      </c>
      <c r="S181" s="28"/>
      <c r="T181" s="21" t="str">
        <f t="shared" si="3"/>
        <v>3. TRANSPARÊNCIA - LICITAÇÕES, CONTRATOS E INSTRUMENTOS DE COORPERAÇÃO - Mapa Comparativo de Preços</v>
      </c>
      <c r="U181" s="22">
        <f t="shared" si="4"/>
        <v>2</v>
      </c>
      <c r="V181" s="23">
        <f>IFERROR(VLOOKUP(T181,'Parcial - Prestação de contas'!A:D,4, ),0)</f>
        <v>0</v>
      </c>
    </row>
    <row r="182">
      <c r="A182" s="10" t="s">
        <v>523</v>
      </c>
      <c r="B182" s="10" t="s">
        <v>620</v>
      </c>
      <c r="C182" s="18">
        <v>43.0</v>
      </c>
      <c r="D182" s="12" t="s">
        <v>625</v>
      </c>
      <c r="E182" s="12" t="s">
        <v>626</v>
      </c>
      <c r="F182" s="18">
        <v>2.0</v>
      </c>
      <c r="G182" s="13">
        <f t="shared" si="1"/>
        <v>0</v>
      </c>
      <c r="H182" s="14">
        <f t="shared" si="8"/>
        <v>0</v>
      </c>
      <c r="I182" s="15" t="s">
        <v>527</v>
      </c>
      <c r="J182" s="16" t="s">
        <v>28</v>
      </c>
      <c r="K182" s="5" t="s">
        <v>619</v>
      </c>
      <c r="L182" s="17"/>
      <c r="M182" s="17"/>
      <c r="N182" s="5" t="s">
        <v>528</v>
      </c>
      <c r="O182" s="19">
        <v>46112.0</v>
      </c>
      <c r="P182" s="20"/>
      <c r="Q182" s="26">
        <v>2.0</v>
      </c>
      <c r="R182" s="26">
        <v>2.0</v>
      </c>
      <c r="S182" s="28"/>
      <c r="T182" s="21" t="str">
        <f t="shared" si="3"/>
        <v>3. TRANSPARÊNCIA - LICITAÇÕES, CONTRATOS E INSTRUMENTOS DE COORPERAÇÃO - Editais de Licitação</v>
      </c>
      <c r="U182" s="22">
        <f t="shared" si="4"/>
        <v>2</v>
      </c>
      <c r="V182" s="23">
        <f>IFERROR(VLOOKUP(T182,'Parcial - Prestação de contas'!A:D,4, ),0)</f>
        <v>0</v>
      </c>
    </row>
    <row r="183">
      <c r="A183" s="10" t="s">
        <v>523</v>
      </c>
      <c r="B183" s="10" t="s">
        <v>620</v>
      </c>
      <c r="C183" s="18">
        <v>44.0</v>
      </c>
      <c r="D183" s="12" t="s">
        <v>627</v>
      </c>
      <c r="E183" s="12" t="s">
        <v>628</v>
      </c>
      <c r="F183" s="18">
        <v>2.0</v>
      </c>
      <c r="G183" s="13">
        <f t="shared" si="1"/>
        <v>0</v>
      </c>
      <c r="H183" s="14">
        <f t="shared" si="8"/>
        <v>0</v>
      </c>
      <c r="I183" s="15" t="s">
        <v>527</v>
      </c>
      <c r="J183" s="16" t="s">
        <v>28</v>
      </c>
      <c r="K183" s="5" t="s">
        <v>619</v>
      </c>
      <c r="L183" s="17"/>
      <c r="M183" s="17"/>
      <c r="N183" s="5" t="s">
        <v>528</v>
      </c>
      <c r="O183" s="19">
        <v>46112.0</v>
      </c>
      <c r="P183" s="20"/>
      <c r="Q183" s="26">
        <v>2.0</v>
      </c>
      <c r="R183" s="26">
        <v>2.0</v>
      </c>
      <c r="S183" s="28"/>
      <c r="T183" s="21" t="str">
        <f t="shared" si="3"/>
        <v>3. TRANSPARÊNCIA - LICITAÇÕES, CONTRATOS E INSTRUMENTOS DE COORPERAÇÃO - Questionamento apresentados</v>
      </c>
      <c r="U183" s="22">
        <f t="shared" si="4"/>
        <v>2</v>
      </c>
      <c r="V183" s="23">
        <f>IFERROR(VLOOKUP(T183,'Parcial - Prestação de contas'!A:D,4, ),0)</f>
        <v>0</v>
      </c>
    </row>
    <row r="184">
      <c r="A184" s="10" t="s">
        <v>523</v>
      </c>
      <c r="B184" s="10" t="s">
        <v>620</v>
      </c>
      <c r="C184" s="18">
        <v>45.0</v>
      </c>
      <c r="D184" s="12" t="s">
        <v>629</v>
      </c>
      <c r="E184" s="12" t="s">
        <v>630</v>
      </c>
      <c r="F184" s="18">
        <v>2.0</v>
      </c>
      <c r="G184" s="13">
        <f t="shared" si="1"/>
        <v>0</v>
      </c>
      <c r="H184" s="14">
        <f t="shared" si="8"/>
        <v>0</v>
      </c>
      <c r="I184" s="15" t="s">
        <v>527</v>
      </c>
      <c r="J184" s="16" t="s">
        <v>28</v>
      </c>
      <c r="K184" s="5" t="s">
        <v>619</v>
      </c>
      <c r="L184" s="17"/>
      <c r="M184" s="17"/>
      <c r="N184" s="5" t="s">
        <v>528</v>
      </c>
      <c r="O184" s="19">
        <v>46112.0</v>
      </c>
      <c r="P184" s="20"/>
      <c r="Q184" s="26">
        <v>2.0</v>
      </c>
      <c r="R184" s="26">
        <v>2.0</v>
      </c>
      <c r="S184" s="28"/>
      <c r="T184" s="21" t="str">
        <f t="shared" si="3"/>
        <v>3. TRANSPARÊNCIA - LICITAÇÕES, CONTRATOS E INSTRUMENTOS DE COORPERAÇÃO - Impugnações</v>
      </c>
      <c r="U184" s="22">
        <f t="shared" si="4"/>
        <v>2</v>
      </c>
      <c r="V184" s="23">
        <f>IFERROR(VLOOKUP(T184,'Parcial - Prestação de contas'!A:D,4, ),0)</f>
        <v>0</v>
      </c>
    </row>
    <row r="185">
      <c r="A185" s="10" t="s">
        <v>523</v>
      </c>
      <c r="B185" s="10" t="s">
        <v>620</v>
      </c>
      <c r="C185" s="18">
        <v>46.0</v>
      </c>
      <c r="D185" s="12" t="s">
        <v>631</v>
      </c>
      <c r="E185" s="12" t="s">
        <v>632</v>
      </c>
      <c r="F185" s="18">
        <v>2.0</v>
      </c>
      <c r="G185" s="13">
        <f t="shared" si="1"/>
        <v>0</v>
      </c>
      <c r="H185" s="14">
        <f t="shared" si="8"/>
        <v>0</v>
      </c>
      <c r="I185" s="15" t="s">
        <v>527</v>
      </c>
      <c r="J185" s="16" t="s">
        <v>28</v>
      </c>
      <c r="K185" s="5" t="s">
        <v>619</v>
      </c>
      <c r="L185" s="17"/>
      <c r="M185" s="17"/>
      <c r="N185" s="5" t="s">
        <v>528</v>
      </c>
      <c r="O185" s="19">
        <v>46112.0</v>
      </c>
      <c r="P185" s="20"/>
      <c r="Q185" s="26">
        <v>0.0</v>
      </c>
      <c r="R185" s="26">
        <v>2.0</v>
      </c>
      <c r="S185" s="28"/>
      <c r="T185" s="21" t="str">
        <f t="shared" si="3"/>
        <v>3. TRANSPARÊNCIA - LICITAÇÕES, CONTRATOS E INSTRUMENTOS DE COORPERAÇÃO - Vencedor da licitação</v>
      </c>
      <c r="U185" s="22">
        <f t="shared" si="4"/>
        <v>2</v>
      </c>
      <c r="V185" s="23">
        <f>IFERROR(VLOOKUP(T185,'Parcial - Prestação de contas'!A:D,4, ),0)</f>
        <v>0</v>
      </c>
    </row>
    <row r="186">
      <c r="A186" s="10" t="s">
        <v>523</v>
      </c>
      <c r="B186" s="10" t="s">
        <v>620</v>
      </c>
      <c r="C186" s="18">
        <v>47.0</v>
      </c>
      <c r="D186" s="12" t="s">
        <v>633</v>
      </c>
      <c r="E186" s="12" t="s">
        <v>634</v>
      </c>
      <c r="F186" s="18">
        <v>3.0</v>
      </c>
      <c r="G186" s="13">
        <f t="shared" si="1"/>
        <v>0</v>
      </c>
      <c r="H186" s="14">
        <f t="shared" si="8"/>
        <v>0</v>
      </c>
      <c r="I186" s="15" t="s">
        <v>527</v>
      </c>
      <c r="J186" s="16" t="s">
        <v>28</v>
      </c>
      <c r="K186" s="5" t="s">
        <v>619</v>
      </c>
      <c r="L186" s="17"/>
      <c r="M186" s="17"/>
      <c r="N186" s="5" t="s">
        <v>528</v>
      </c>
      <c r="O186" s="19">
        <v>46112.0</v>
      </c>
      <c r="P186" s="20"/>
      <c r="Q186" s="26">
        <v>3.0</v>
      </c>
      <c r="R186" s="26">
        <v>3.0</v>
      </c>
      <c r="S186" s="28"/>
      <c r="T186" s="21" t="str">
        <f t="shared" si="3"/>
        <v>3. TRANSPARÊNCIA - LICITAÇÕES, CONTRATOS E INSTRUMENTOS DE COORPERAÇÃO - Contratos firmados</v>
      </c>
      <c r="U186" s="22">
        <f t="shared" si="4"/>
        <v>3</v>
      </c>
      <c r="V186" s="23">
        <f>IFERROR(VLOOKUP(T186,'Parcial - Prestação de contas'!A:D,4, ),0)</f>
        <v>0</v>
      </c>
    </row>
    <row r="187">
      <c r="A187" s="10" t="s">
        <v>523</v>
      </c>
      <c r="B187" s="10" t="s">
        <v>620</v>
      </c>
      <c r="C187" s="18">
        <v>48.0</v>
      </c>
      <c r="D187" s="12" t="s">
        <v>635</v>
      </c>
      <c r="E187" s="12" t="s">
        <v>636</v>
      </c>
      <c r="F187" s="18">
        <v>2.0</v>
      </c>
      <c r="G187" s="13">
        <f t="shared" si="1"/>
        <v>0</v>
      </c>
      <c r="H187" s="14">
        <f t="shared" si="8"/>
        <v>0</v>
      </c>
      <c r="I187" s="15" t="s">
        <v>527</v>
      </c>
      <c r="J187" s="16" t="s">
        <v>28</v>
      </c>
      <c r="K187" s="5" t="s">
        <v>619</v>
      </c>
      <c r="L187" s="17"/>
      <c r="M187" s="17"/>
      <c r="N187" s="5" t="s">
        <v>528</v>
      </c>
      <c r="O187" s="19">
        <v>46112.0</v>
      </c>
      <c r="P187" s="20"/>
      <c r="Q187" s="26">
        <v>0.0</v>
      </c>
      <c r="R187" s="26">
        <v>2.0</v>
      </c>
      <c r="S187" s="28"/>
      <c r="T187" s="21" t="str">
        <f t="shared" si="3"/>
        <v>3. TRANSPARÊNCIA - LICITAÇÕES, CONTRATOS E INSTRUMENTOS DE COORPERAÇÃO - Instrumentos que substituem o contrato</v>
      </c>
      <c r="U187" s="22">
        <f t="shared" si="4"/>
        <v>2</v>
      </c>
      <c r="V187" s="23">
        <f>IFERROR(VLOOKUP(T187,'Parcial - Prestação de contas'!A:D,4, ),0)</f>
        <v>0</v>
      </c>
    </row>
    <row r="188">
      <c r="A188" s="10" t="s">
        <v>523</v>
      </c>
      <c r="B188" s="10" t="s">
        <v>620</v>
      </c>
      <c r="C188" s="18">
        <v>49.0</v>
      </c>
      <c r="D188" s="12" t="s">
        <v>637</v>
      </c>
      <c r="E188" s="12" t="s">
        <v>638</v>
      </c>
      <c r="F188" s="18">
        <v>3.0</v>
      </c>
      <c r="G188" s="13">
        <f t="shared" si="1"/>
        <v>0</v>
      </c>
      <c r="H188" s="14">
        <f t="shared" si="8"/>
        <v>0</v>
      </c>
      <c r="I188" s="15" t="s">
        <v>527</v>
      </c>
      <c r="J188" s="16" t="s">
        <v>28</v>
      </c>
      <c r="K188" s="5" t="s">
        <v>619</v>
      </c>
      <c r="L188" s="17"/>
      <c r="M188" s="17"/>
      <c r="N188" s="5" t="s">
        <v>528</v>
      </c>
      <c r="O188" s="19">
        <v>46112.0</v>
      </c>
      <c r="P188" s="20"/>
      <c r="Q188" s="26">
        <v>3.0</v>
      </c>
      <c r="R188" s="26">
        <v>3.0</v>
      </c>
      <c r="S188" s="28"/>
      <c r="T188" s="21" t="str">
        <f t="shared" si="3"/>
        <v>3. TRANSPARÊNCIA - LICITAÇÕES, CONTRATOS E INSTRUMENTOS DE COORPERAÇÃO - Termos Aditivos</v>
      </c>
      <c r="U188" s="22">
        <f t="shared" si="4"/>
        <v>3</v>
      </c>
      <c r="V188" s="23">
        <f>IFERROR(VLOOKUP(T188,'Parcial - Prestação de contas'!A:D,4, ),0)</f>
        <v>0</v>
      </c>
    </row>
    <row r="189">
      <c r="A189" s="10" t="s">
        <v>523</v>
      </c>
      <c r="B189" s="10" t="s">
        <v>620</v>
      </c>
      <c r="C189" s="18">
        <v>50.0</v>
      </c>
      <c r="D189" s="12" t="s">
        <v>639</v>
      </c>
      <c r="E189" s="12" t="s">
        <v>640</v>
      </c>
      <c r="F189" s="18">
        <v>2.0</v>
      </c>
      <c r="G189" s="13">
        <f t="shared" si="1"/>
        <v>0</v>
      </c>
      <c r="H189" s="14">
        <f t="shared" si="8"/>
        <v>0</v>
      </c>
      <c r="I189" s="15" t="s">
        <v>527</v>
      </c>
      <c r="J189" s="16" t="s">
        <v>28</v>
      </c>
      <c r="K189" s="5" t="s">
        <v>619</v>
      </c>
      <c r="L189" s="17"/>
      <c r="M189" s="17"/>
      <c r="N189" s="5" t="s">
        <v>528</v>
      </c>
      <c r="O189" s="19">
        <v>46112.0</v>
      </c>
      <c r="P189" s="20"/>
      <c r="Q189" s="26">
        <v>0.0</v>
      </c>
      <c r="R189" s="26">
        <v>3.0</v>
      </c>
      <c r="S189" s="28"/>
      <c r="T189" s="21" t="str">
        <f t="shared" si="3"/>
        <v>3. TRANSPARÊNCIA - LICITAÇÕES, CONTRATOS E INSTRUMENTOS DE COORPERAÇÃO - Projeto básico ou Termo de Referência</v>
      </c>
      <c r="U189" s="22">
        <f t="shared" si="4"/>
        <v>2</v>
      </c>
      <c r="V189" s="23">
        <f>IFERROR(VLOOKUP(T189,'Parcial - Prestação de contas'!A:D,4, ),0)</f>
        <v>0</v>
      </c>
    </row>
    <row r="190">
      <c r="A190" s="10" t="s">
        <v>523</v>
      </c>
      <c r="B190" s="10" t="s">
        <v>620</v>
      </c>
      <c r="C190" s="18">
        <v>51.0</v>
      </c>
      <c r="D190" s="12" t="s">
        <v>641</v>
      </c>
      <c r="E190" s="12" t="s">
        <v>642</v>
      </c>
      <c r="F190" s="18">
        <v>3.0</v>
      </c>
      <c r="G190" s="13">
        <f t="shared" si="1"/>
        <v>0</v>
      </c>
      <c r="H190" s="14">
        <f t="shared" si="8"/>
        <v>0</v>
      </c>
      <c r="I190" s="15" t="s">
        <v>527</v>
      </c>
      <c r="J190" s="16" t="s">
        <v>28</v>
      </c>
      <c r="K190" s="5" t="s">
        <v>619</v>
      </c>
      <c r="L190" s="17"/>
      <c r="M190" s="17"/>
      <c r="N190" s="5" t="s">
        <v>528</v>
      </c>
      <c r="O190" s="19">
        <v>46112.0</v>
      </c>
      <c r="P190" s="20"/>
      <c r="Q190" s="26">
        <v>3.0</v>
      </c>
      <c r="R190" s="26">
        <v>3.0</v>
      </c>
      <c r="S190" s="28"/>
      <c r="T190" s="21" t="str">
        <f t="shared" si="3"/>
        <v>3. TRANSPARÊNCIA - LICITAÇÕES, CONTRATOS E INSTRUMENTOS DE COORPERAÇÃO - Dispensa ou Inexigibilidade de licitação</v>
      </c>
      <c r="U190" s="22">
        <f t="shared" si="4"/>
        <v>3</v>
      </c>
      <c r="V190" s="23">
        <f>IFERROR(VLOOKUP(T190,'Parcial - Prestação de contas'!A:D,4, ),0)</f>
        <v>0</v>
      </c>
    </row>
    <row r="191">
      <c r="A191" s="10" t="s">
        <v>523</v>
      </c>
      <c r="B191" s="10" t="s">
        <v>620</v>
      </c>
      <c r="C191" s="18">
        <v>52.0</v>
      </c>
      <c r="D191" s="12" t="s">
        <v>643</v>
      </c>
      <c r="E191" s="12" t="s">
        <v>644</v>
      </c>
      <c r="F191" s="18">
        <v>3.0</v>
      </c>
      <c r="G191" s="13">
        <f t="shared" si="1"/>
        <v>0</v>
      </c>
      <c r="H191" s="14">
        <f t="shared" si="8"/>
        <v>0</v>
      </c>
      <c r="I191" s="15" t="s">
        <v>527</v>
      </c>
      <c r="J191" s="16" t="s">
        <v>28</v>
      </c>
      <c r="K191" s="5" t="s">
        <v>619</v>
      </c>
      <c r="L191" s="17"/>
      <c r="M191" s="17"/>
      <c r="N191" s="5" t="s">
        <v>528</v>
      </c>
      <c r="O191" s="19">
        <v>46112.0</v>
      </c>
      <c r="P191" s="20"/>
      <c r="Q191" s="26">
        <v>3.0</v>
      </c>
      <c r="R191" s="26">
        <v>3.0</v>
      </c>
      <c r="S191" s="28"/>
      <c r="T191" s="21" t="str">
        <f t="shared" si="3"/>
        <v>3. TRANSPARÊNCIA - LICITAÇÕES, CONTRATOS E INSTRUMENTOS DE COORPERAÇÃO - Convênios</v>
      </c>
      <c r="U191" s="22">
        <f t="shared" si="4"/>
        <v>3</v>
      </c>
      <c r="V191" s="23">
        <f>IFERROR(VLOOKUP(T191,'Parcial - Prestação de contas'!A:D,4, ),0)</f>
        <v>0</v>
      </c>
    </row>
    <row r="192">
      <c r="A192" s="10" t="s">
        <v>523</v>
      </c>
      <c r="B192" s="10" t="s">
        <v>645</v>
      </c>
      <c r="C192" s="18">
        <v>53.0</v>
      </c>
      <c r="D192" s="12" t="s">
        <v>646</v>
      </c>
      <c r="E192" s="12" t="s">
        <v>647</v>
      </c>
      <c r="F192" s="18">
        <v>3.0</v>
      </c>
      <c r="G192" s="13">
        <f t="shared" si="1"/>
        <v>0</v>
      </c>
      <c r="H192" s="14">
        <f t="shared" si="8"/>
        <v>0</v>
      </c>
      <c r="I192" s="15" t="s">
        <v>527</v>
      </c>
      <c r="J192" s="16" t="s">
        <v>28</v>
      </c>
      <c r="K192" s="5" t="s">
        <v>648</v>
      </c>
      <c r="L192" s="17"/>
      <c r="M192" s="17"/>
      <c r="N192" s="5" t="s">
        <v>528</v>
      </c>
      <c r="O192" s="19">
        <v>46112.0</v>
      </c>
      <c r="P192" s="20"/>
      <c r="Q192" s="26">
        <v>3.0</v>
      </c>
      <c r="R192" s="26">
        <v>3.0</v>
      </c>
      <c r="S192" s="28"/>
      <c r="T192" s="21" t="str">
        <f t="shared" si="3"/>
        <v>3. TRANSPARÊNCIA - GESTÃO DE PESSOAS - Estrutura remuneratória dos cargos efetivos</v>
      </c>
      <c r="U192" s="22">
        <f t="shared" si="4"/>
        <v>3</v>
      </c>
      <c r="V192" s="23">
        <f>IFERROR(VLOOKUP(T192,'Parcial - Prestação de contas'!A:D,4, ),0)</f>
        <v>0</v>
      </c>
    </row>
    <row r="193">
      <c r="A193" s="10" t="s">
        <v>523</v>
      </c>
      <c r="B193" s="10" t="s">
        <v>645</v>
      </c>
      <c r="C193" s="18">
        <v>54.0</v>
      </c>
      <c r="D193" s="12" t="s">
        <v>649</v>
      </c>
      <c r="E193" s="12" t="s">
        <v>650</v>
      </c>
      <c r="F193" s="18">
        <v>3.0</v>
      </c>
      <c r="G193" s="13">
        <f t="shared" si="1"/>
        <v>0</v>
      </c>
      <c r="H193" s="14">
        <f t="shared" si="8"/>
        <v>0</v>
      </c>
      <c r="I193" s="15" t="s">
        <v>527</v>
      </c>
      <c r="J193" s="16" t="s">
        <v>28</v>
      </c>
      <c r="K193" s="5" t="s">
        <v>648</v>
      </c>
      <c r="L193" s="17"/>
      <c r="M193" s="17"/>
      <c r="N193" s="5" t="s">
        <v>528</v>
      </c>
      <c r="O193" s="19">
        <v>46112.0</v>
      </c>
      <c r="P193" s="20"/>
      <c r="Q193" s="26">
        <v>3.0</v>
      </c>
      <c r="R193" s="26">
        <v>3.0</v>
      </c>
      <c r="S193" s="28"/>
      <c r="T193" s="21" t="str">
        <f t="shared" si="3"/>
        <v>3. TRANSPARÊNCIA - GESTÃO DE PESSOAS - Estrutura remuneratória dos cargos comissionados</v>
      </c>
      <c r="U193" s="22">
        <f t="shared" si="4"/>
        <v>3</v>
      </c>
      <c r="V193" s="23">
        <f>IFERROR(VLOOKUP(T193,'Parcial - Prestação de contas'!A:D,4, ),0)</f>
        <v>0</v>
      </c>
    </row>
    <row r="194">
      <c r="A194" s="10" t="s">
        <v>523</v>
      </c>
      <c r="B194" s="10" t="s">
        <v>645</v>
      </c>
      <c r="C194" s="18">
        <v>55.0</v>
      </c>
      <c r="D194" s="12" t="s">
        <v>651</v>
      </c>
      <c r="E194" s="12" t="s">
        <v>652</v>
      </c>
      <c r="F194" s="18">
        <v>3.0</v>
      </c>
      <c r="G194" s="13">
        <f t="shared" si="1"/>
        <v>0</v>
      </c>
      <c r="H194" s="14">
        <f t="shared" si="8"/>
        <v>0</v>
      </c>
      <c r="I194" s="15" t="s">
        <v>527</v>
      </c>
      <c r="J194" s="16" t="s">
        <v>28</v>
      </c>
      <c r="K194" s="5" t="s">
        <v>648</v>
      </c>
      <c r="L194" s="17"/>
      <c r="M194" s="17"/>
      <c r="N194" s="5" t="s">
        <v>528</v>
      </c>
      <c r="O194" s="19">
        <v>46112.0</v>
      </c>
      <c r="P194" s="20"/>
      <c r="Q194" s="26">
        <v>3.0</v>
      </c>
      <c r="R194" s="26">
        <v>3.0</v>
      </c>
      <c r="S194" s="28"/>
      <c r="T194" s="21" t="str">
        <f t="shared" si="3"/>
        <v>3. TRANSPARÊNCIA - GESTÃO DE PESSOAS - Estrutura remuneratória dos magistrados</v>
      </c>
      <c r="U194" s="22">
        <f t="shared" si="4"/>
        <v>3</v>
      </c>
      <c r="V194" s="23">
        <f>IFERROR(VLOOKUP(T194,'Parcial - Prestação de contas'!A:D,4, ),0)</f>
        <v>0</v>
      </c>
    </row>
    <row r="195">
      <c r="A195" s="10" t="s">
        <v>523</v>
      </c>
      <c r="B195" s="10" t="s">
        <v>645</v>
      </c>
      <c r="C195" s="18">
        <v>56.0</v>
      </c>
      <c r="D195" s="12" t="s">
        <v>653</v>
      </c>
      <c r="E195" s="12" t="s">
        <v>654</v>
      </c>
      <c r="F195" s="18">
        <v>3.0</v>
      </c>
      <c r="G195" s="13">
        <f t="shared" si="1"/>
        <v>0</v>
      </c>
      <c r="H195" s="14">
        <f t="shared" si="8"/>
        <v>0</v>
      </c>
      <c r="I195" s="15" t="s">
        <v>527</v>
      </c>
      <c r="J195" s="16" t="s">
        <v>28</v>
      </c>
      <c r="K195" s="5" t="s">
        <v>648</v>
      </c>
      <c r="L195" s="17"/>
      <c r="M195" s="17"/>
      <c r="N195" s="5" t="s">
        <v>528</v>
      </c>
      <c r="O195" s="19">
        <v>46112.0</v>
      </c>
      <c r="P195" s="20"/>
      <c r="Q195" s="26">
        <v>3.0</v>
      </c>
      <c r="R195" s="26">
        <v>3.0</v>
      </c>
      <c r="S195" s="28"/>
      <c r="T195" s="21" t="str">
        <f t="shared" si="3"/>
        <v>3. TRANSPARÊNCIA - GESTÃO DE PESSOAS - Publicação dos Cargos Efetivos</v>
      </c>
      <c r="U195" s="22">
        <f t="shared" si="4"/>
        <v>3</v>
      </c>
      <c r="V195" s="23">
        <f>IFERROR(VLOOKUP(T195,'Parcial - Prestação de contas'!A:D,4, ),0)</f>
        <v>0</v>
      </c>
    </row>
    <row r="196">
      <c r="A196" s="10" t="s">
        <v>523</v>
      </c>
      <c r="B196" s="10" t="s">
        <v>645</v>
      </c>
      <c r="C196" s="18">
        <v>57.0</v>
      </c>
      <c r="D196" s="12" t="s">
        <v>655</v>
      </c>
      <c r="E196" s="12" t="s">
        <v>656</v>
      </c>
      <c r="F196" s="18">
        <v>3.0</v>
      </c>
      <c r="G196" s="13">
        <f t="shared" si="1"/>
        <v>0</v>
      </c>
      <c r="H196" s="14">
        <f t="shared" si="8"/>
        <v>0</v>
      </c>
      <c r="I196" s="15" t="s">
        <v>527</v>
      </c>
      <c r="J196" s="16" t="s">
        <v>28</v>
      </c>
      <c r="K196" s="5" t="s">
        <v>648</v>
      </c>
      <c r="L196" s="17"/>
      <c r="M196" s="17"/>
      <c r="N196" s="5" t="s">
        <v>528</v>
      </c>
      <c r="O196" s="19">
        <v>46112.0</v>
      </c>
      <c r="P196" s="20"/>
      <c r="Q196" s="26">
        <v>3.0</v>
      </c>
      <c r="R196" s="26">
        <v>3.0</v>
      </c>
      <c r="S196" s="28"/>
      <c r="T196" s="21" t="str">
        <f t="shared" si="3"/>
        <v>3. TRANSPARÊNCIA - GESTÃO DE PESSOAS - Publicação dos Cargos em Comissão e Funções de Confiança</v>
      </c>
      <c r="U196" s="22">
        <f t="shared" si="4"/>
        <v>3</v>
      </c>
      <c r="V196" s="23">
        <f>IFERROR(VLOOKUP(T196,'Parcial - Prestação de contas'!A:D,4, ),0)</f>
        <v>0</v>
      </c>
    </row>
    <row r="197">
      <c r="A197" s="10" t="s">
        <v>523</v>
      </c>
      <c r="B197" s="10" t="s">
        <v>645</v>
      </c>
      <c r="C197" s="18">
        <v>58.0</v>
      </c>
      <c r="D197" s="12" t="s">
        <v>657</v>
      </c>
      <c r="E197" s="12" t="s">
        <v>658</v>
      </c>
      <c r="F197" s="18">
        <v>2.0</v>
      </c>
      <c r="G197" s="13">
        <f t="shared" si="1"/>
        <v>0</v>
      </c>
      <c r="H197" s="14">
        <f t="shared" si="8"/>
        <v>0</v>
      </c>
      <c r="I197" s="15" t="s">
        <v>527</v>
      </c>
      <c r="J197" s="16" t="s">
        <v>28</v>
      </c>
      <c r="K197" s="5" t="s">
        <v>648</v>
      </c>
      <c r="L197" s="17"/>
      <c r="M197" s="17"/>
      <c r="N197" s="5" t="s">
        <v>528</v>
      </c>
      <c r="O197" s="19">
        <v>46112.0</v>
      </c>
      <c r="P197" s="20"/>
      <c r="Q197" s="26">
        <v>2.0</v>
      </c>
      <c r="R197" s="26">
        <v>2.0</v>
      </c>
      <c r="S197" s="28"/>
      <c r="T197" s="21" t="str">
        <f t="shared" si="3"/>
        <v>3. TRANSPARÊNCIA - GESTÃO DE PESSOAS - Origem funcional dos cargos comissionados</v>
      </c>
      <c r="U197" s="22">
        <f t="shared" si="4"/>
        <v>2</v>
      </c>
      <c r="V197" s="23">
        <f>IFERROR(VLOOKUP(T197,'Parcial - Prestação de contas'!A:D,4, ),0)</f>
        <v>0</v>
      </c>
    </row>
    <row r="198">
      <c r="A198" s="10" t="s">
        <v>523</v>
      </c>
      <c r="B198" s="10" t="s">
        <v>645</v>
      </c>
      <c r="C198" s="18">
        <v>59.0</v>
      </c>
      <c r="D198" s="12" t="s">
        <v>659</v>
      </c>
      <c r="E198" s="12" t="s">
        <v>660</v>
      </c>
      <c r="F198" s="18">
        <v>3.0</v>
      </c>
      <c r="G198" s="13">
        <f t="shared" si="1"/>
        <v>0</v>
      </c>
      <c r="H198" s="14">
        <f t="shared" si="8"/>
        <v>0</v>
      </c>
      <c r="I198" s="15" t="s">
        <v>527</v>
      </c>
      <c r="J198" s="16" t="s">
        <v>28</v>
      </c>
      <c r="K198" s="5" t="s">
        <v>648</v>
      </c>
      <c r="L198" s="17"/>
      <c r="M198" s="17"/>
      <c r="N198" s="5" t="s">
        <v>528</v>
      </c>
      <c r="O198" s="19">
        <v>46112.0</v>
      </c>
      <c r="P198" s="20"/>
      <c r="Q198" s="26">
        <v>3.0</v>
      </c>
      <c r="R198" s="26">
        <v>3.0</v>
      </c>
      <c r="S198" s="28"/>
      <c r="T198" s="21" t="str">
        <f t="shared" si="3"/>
        <v>3. TRANSPARÊNCIA - GESTÃO DE PESSOAS - Situação Funcional dos servidores ativos</v>
      </c>
      <c r="U198" s="22">
        <f t="shared" si="4"/>
        <v>3</v>
      </c>
      <c r="V198" s="23">
        <f>IFERROR(VLOOKUP(T198,'Parcial - Prestação de contas'!A:D,4, ),0)</f>
        <v>0</v>
      </c>
    </row>
    <row r="199">
      <c r="A199" s="10" t="s">
        <v>523</v>
      </c>
      <c r="B199" s="10" t="s">
        <v>645</v>
      </c>
      <c r="C199" s="18">
        <v>60.0</v>
      </c>
      <c r="D199" s="12" t="s">
        <v>661</v>
      </c>
      <c r="E199" s="12" t="s">
        <v>662</v>
      </c>
      <c r="F199" s="18">
        <v>3.0</v>
      </c>
      <c r="G199" s="13">
        <f t="shared" si="1"/>
        <v>0</v>
      </c>
      <c r="H199" s="14">
        <f t="shared" si="8"/>
        <v>0</v>
      </c>
      <c r="I199" s="15" t="s">
        <v>527</v>
      </c>
      <c r="J199" s="16" t="s">
        <v>28</v>
      </c>
      <c r="K199" s="5" t="s">
        <v>648</v>
      </c>
      <c r="L199" s="17"/>
      <c r="M199" s="17"/>
      <c r="N199" s="5" t="s">
        <v>528</v>
      </c>
      <c r="O199" s="19">
        <v>46112.0</v>
      </c>
      <c r="P199" s="20"/>
      <c r="Q199" s="26">
        <v>3.0</v>
      </c>
      <c r="R199" s="26">
        <v>3.0</v>
      </c>
      <c r="S199" s="28"/>
      <c r="T199" s="21" t="str">
        <f t="shared" si="3"/>
        <v>3. TRANSPARÊNCIA - GESTÃO DE PESSOAS - Publicação dos cargos de magistrados</v>
      </c>
      <c r="U199" s="22">
        <f t="shared" si="4"/>
        <v>3</v>
      </c>
      <c r="V199" s="23">
        <f>IFERROR(VLOOKUP(T199,'Parcial - Prestação de contas'!A:D,4, ),0)</f>
        <v>0</v>
      </c>
    </row>
    <row r="200">
      <c r="A200" s="10" t="s">
        <v>523</v>
      </c>
      <c r="B200" s="10" t="s">
        <v>645</v>
      </c>
      <c r="C200" s="18">
        <v>61.0</v>
      </c>
      <c r="D200" s="12" t="s">
        <v>663</v>
      </c>
      <c r="E200" s="12" t="s">
        <v>664</v>
      </c>
      <c r="F200" s="18">
        <v>3.0</v>
      </c>
      <c r="G200" s="13">
        <f t="shared" si="1"/>
        <v>0</v>
      </c>
      <c r="H200" s="14">
        <f t="shared" si="8"/>
        <v>0</v>
      </c>
      <c r="I200" s="15" t="s">
        <v>527</v>
      </c>
      <c r="J200" s="16" t="s">
        <v>28</v>
      </c>
      <c r="K200" s="5" t="s">
        <v>648</v>
      </c>
      <c r="L200" s="17"/>
      <c r="M200" s="17"/>
      <c r="N200" s="5" t="s">
        <v>528</v>
      </c>
      <c r="O200" s="19">
        <v>46112.0</v>
      </c>
      <c r="P200" s="20"/>
      <c r="Q200" s="26">
        <v>3.0</v>
      </c>
      <c r="R200" s="26">
        <v>3.0</v>
      </c>
      <c r="S200" s="28"/>
      <c r="T200" s="21" t="str">
        <f t="shared" si="3"/>
        <v>3. TRANSPARÊNCIA - GESTÃO DE PESSOAS - Situação Funcional dos magistrados ativos</v>
      </c>
      <c r="U200" s="22">
        <f t="shared" si="4"/>
        <v>3</v>
      </c>
      <c r="V200" s="23">
        <f>IFERROR(VLOOKUP(T200,'Parcial - Prestação de contas'!A:D,4, ),0)</f>
        <v>0</v>
      </c>
    </row>
    <row r="201">
      <c r="A201" s="10" t="s">
        <v>523</v>
      </c>
      <c r="B201" s="10" t="s">
        <v>645</v>
      </c>
      <c r="C201" s="18">
        <v>62.0</v>
      </c>
      <c r="D201" s="12" t="s">
        <v>665</v>
      </c>
      <c r="E201" s="12" t="s">
        <v>666</v>
      </c>
      <c r="F201" s="18">
        <v>2.0</v>
      </c>
      <c r="G201" s="13">
        <f t="shared" si="1"/>
        <v>0</v>
      </c>
      <c r="H201" s="14">
        <f t="shared" si="8"/>
        <v>0</v>
      </c>
      <c r="I201" s="15" t="s">
        <v>527</v>
      </c>
      <c r="J201" s="16" t="s">
        <v>28</v>
      </c>
      <c r="K201" s="5" t="s">
        <v>648</v>
      </c>
      <c r="L201" s="17"/>
      <c r="M201" s="17"/>
      <c r="N201" s="5" t="s">
        <v>528</v>
      </c>
      <c r="O201" s="19">
        <v>46112.0</v>
      </c>
      <c r="P201" s="20"/>
      <c r="Q201" s="26">
        <v>2.0</v>
      </c>
      <c r="R201" s="26">
        <v>3.0</v>
      </c>
      <c r="S201" s="28"/>
      <c r="T201" s="21" t="str">
        <f t="shared" si="3"/>
        <v>3. TRANSPARÊNCIA - GESTÃO DE PESSOAS - Magistrados não integrantes do quadro próprio</v>
      </c>
      <c r="U201" s="22">
        <f t="shared" si="4"/>
        <v>2</v>
      </c>
      <c r="V201" s="23">
        <f>IFERROR(VLOOKUP(T201,'Parcial - Prestação de contas'!A:D,4, ),0)</f>
        <v>0</v>
      </c>
    </row>
    <row r="202">
      <c r="A202" s="10" t="s">
        <v>523</v>
      </c>
      <c r="B202" s="10" t="s">
        <v>645</v>
      </c>
      <c r="C202" s="18">
        <v>63.0</v>
      </c>
      <c r="D202" s="12" t="s">
        <v>667</v>
      </c>
      <c r="E202" s="12" t="s">
        <v>668</v>
      </c>
      <c r="F202" s="18">
        <v>3.0</v>
      </c>
      <c r="G202" s="13">
        <f t="shared" si="1"/>
        <v>0</v>
      </c>
      <c r="H202" s="14">
        <f t="shared" si="8"/>
        <v>0</v>
      </c>
      <c r="I202" s="15" t="s">
        <v>527</v>
      </c>
      <c r="J202" s="16" t="s">
        <v>28</v>
      </c>
      <c r="K202" s="5" t="s">
        <v>648</v>
      </c>
      <c r="L202" s="17"/>
      <c r="M202" s="17"/>
      <c r="N202" s="5" t="s">
        <v>528</v>
      </c>
      <c r="O202" s="19">
        <v>46112.0</v>
      </c>
      <c r="P202" s="20"/>
      <c r="Q202" s="26">
        <v>3.0</v>
      </c>
      <c r="R202" s="26">
        <v>3.0</v>
      </c>
      <c r="S202" s="28"/>
      <c r="T202" s="21" t="str">
        <f t="shared" si="3"/>
        <v>3. TRANSPARÊNCIA - GESTÃO DE PESSOAS - Quantitativo de beneficiários e dependentes</v>
      </c>
      <c r="U202" s="22">
        <f t="shared" si="4"/>
        <v>3</v>
      </c>
      <c r="V202" s="23">
        <f>IFERROR(VLOOKUP(T202,'Parcial - Prestação de contas'!A:D,4, ),0)</f>
        <v>0</v>
      </c>
    </row>
    <row r="203">
      <c r="A203" s="10" t="s">
        <v>523</v>
      </c>
      <c r="B203" s="10" t="s">
        <v>645</v>
      </c>
      <c r="C203" s="18">
        <v>64.0</v>
      </c>
      <c r="D203" s="12" t="s">
        <v>669</v>
      </c>
      <c r="E203" s="12" t="s">
        <v>670</v>
      </c>
      <c r="F203" s="18">
        <v>2.0</v>
      </c>
      <c r="G203" s="13">
        <f t="shared" si="1"/>
        <v>0</v>
      </c>
      <c r="H203" s="14">
        <f t="shared" si="8"/>
        <v>0</v>
      </c>
      <c r="I203" s="15" t="s">
        <v>527</v>
      </c>
      <c r="J203" s="16" t="s">
        <v>28</v>
      </c>
      <c r="K203" s="5" t="s">
        <v>648</v>
      </c>
      <c r="L203" s="17"/>
      <c r="M203" s="17"/>
      <c r="N203" s="5" t="s">
        <v>528</v>
      </c>
      <c r="O203" s="19">
        <v>46112.0</v>
      </c>
      <c r="P203" s="20"/>
      <c r="Q203" s="26">
        <v>2.0</v>
      </c>
      <c r="R203" s="26">
        <v>2.0</v>
      </c>
      <c r="S203" s="28"/>
      <c r="T203" s="21" t="str">
        <f t="shared" si="3"/>
        <v>3. TRANSPARÊNCIA - GESTÃO DE PESSOAS - Relação completa dos membros da magistratura</v>
      </c>
      <c r="U203" s="22">
        <f t="shared" si="4"/>
        <v>2</v>
      </c>
      <c r="V203" s="23">
        <f>IFERROR(VLOOKUP(T203,'Parcial - Prestação de contas'!A:D,4, ),0)</f>
        <v>0</v>
      </c>
    </row>
    <row r="204">
      <c r="A204" s="10" t="s">
        <v>523</v>
      </c>
      <c r="B204" s="10" t="s">
        <v>645</v>
      </c>
      <c r="C204" s="18">
        <v>65.0</v>
      </c>
      <c r="D204" s="12" t="s">
        <v>671</v>
      </c>
      <c r="E204" s="12" t="s">
        <v>672</v>
      </c>
      <c r="F204" s="18">
        <v>3.0</v>
      </c>
      <c r="G204" s="13">
        <f t="shared" si="1"/>
        <v>0</v>
      </c>
      <c r="H204" s="14">
        <f t="shared" si="8"/>
        <v>0</v>
      </c>
      <c r="I204" s="15" t="s">
        <v>527</v>
      </c>
      <c r="J204" s="16" t="s">
        <v>28</v>
      </c>
      <c r="K204" s="5" t="s">
        <v>648</v>
      </c>
      <c r="L204" s="17"/>
      <c r="M204" s="17"/>
      <c r="N204" s="5" t="s">
        <v>528</v>
      </c>
      <c r="O204" s="19">
        <v>46112.0</v>
      </c>
      <c r="P204" s="20"/>
      <c r="Q204" s="26">
        <v>3.0</v>
      </c>
      <c r="R204" s="26" t="s">
        <v>673</v>
      </c>
      <c r="S204" s="28"/>
      <c r="T204" s="21" t="str">
        <f t="shared" si="3"/>
        <v>3. TRANSPARÊNCIA - GESTÃO DE PESSOAS - Relação dos terceirizados</v>
      </c>
      <c r="U204" s="22">
        <f t="shared" si="4"/>
        <v>3</v>
      </c>
      <c r="V204" s="23">
        <f>IFERROR(VLOOKUP(T204,'Parcial - Prestação de contas'!A:D,4, ),0)</f>
        <v>0</v>
      </c>
    </row>
    <row r="205">
      <c r="A205" s="10" t="s">
        <v>523</v>
      </c>
      <c r="B205" s="10" t="s">
        <v>645</v>
      </c>
      <c r="C205" s="18">
        <v>66.0</v>
      </c>
      <c r="D205" s="12" t="s">
        <v>674</v>
      </c>
      <c r="E205" s="12" t="s">
        <v>675</v>
      </c>
      <c r="F205" s="18">
        <v>2.0</v>
      </c>
      <c r="G205" s="13">
        <f t="shared" si="1"/>
        <v>0</v>
      </c>
      <c r="H205" s="14">
        <f t="shared" si="8"/>
        <v>0</v>
      </c>
      <c r="I205" s="15" t="s">
        <v>527</v>
      </c>
      <c r="J205" s="16" t="s">
        <v>28</v>
      </c>
      <c r="K205" s="5" t="s">
        <v>648</v>
      </c>
      <c r="L205" s="17"/>
      <c r="M205" s="17"/>
      <c r="N205" s="5" t="s">
        <v>528</v>
      </c>
      <c r="O205" s="19">
        <v>46112.0</v>
      </c>
      <c r="P205" s="20"/>
      <c r="Q205" s="26">
        <v>2.0</v>
      </c>
      <c r="R205" s="26">
        <v>2.0</v>
      </c>
      <c r="S205" s="28"/>
      <c r="T205" s="21" t="str">
        <f t="shared" si="3"/>
        <v>3. TRANSPARÊNCIA - GESTÃO DE PESSOAS - Relação dos requisitados</v>
      </c>
      <c r="U205" s="22">
        <f t="shared" si="4"/>
        <v>2</v>
      </c>
      <c r="V205" s="23">
        <f>IFERROR(VLOOKUP(T205,'Parcial - Prestação de contas'!A:D,4, ),0)</f>
        <v>0</v>
      </c>
    </row>
    <row r="206">
      <c r="A206" s="10" t="s">
        <v>523</v>
      </c>
      <c r="B206" s="10" t="s">
        <v>645</v>
      </c>
      <c r="C206" s="18">
        <v>67.0</v>
      </c>
      <c r="D206" s="12" t="s">
        <v>676</v>
      </c>
      <c r="E206" s="12" t="s">
        <v>677</v>
      </c>
      <c r="F206" s="18">
        <v>1.0</v>
      </c>
      <c r="G206" s="13">
        <f t="shared" si="1"/>
        <v>0</v>
      </c>
      <c r="H206" s="14">
        <f t="shared" si="8"/>
        <v>0</v>
      </c>
      <c r="I206" s="15" t="s">
        <v>527</v>
      </c>
      <c r="J206" s="16" t="s">
        <v>28</v>
      </c>
      <c r="K206" s="5" t="s">
        <v>648</v>
      </c>
      <c r="L206" s="17"/>
      <c r="M206" s="17"/>
      <c r="N206" s="5" t="s">
        <v>528</v>
      </c>
      <c r="O206" s="19">
        <v>46112.0</v>
      </c>
      <c r="P206" s="20"/>
      <c r="Q206" s="26">
        <v>1.0</v>
      </c>
      <c r="R206" s="26">
        <v>1.0</v>
      </c>
      <c r="S206" s="28"/>
      <c r="T206" s="21" t="str">
        <f t="shared" si="3"/>
        <v>3. TRANSPARÊNCIA - GESTÃO DE PESSOAS - Publicação da TLP</v>
      </c>
      <c r="U206" s="22">
        <f t="shared" si="4"/>
        <v>1</v>
      </c>
      <c r="V206" s="23">
        <f>IFERROR(VLOOKUP(T206,'Parcial - Prestação de contas'!A:D,4, ),0)</f>
        <v>0</v>
      </c>
    </row>
    <row r="207">
      <c r="A207" s="10" t="s">
        <v>523</v>
      </c>
      <c r="B207" s="10" t="s">
        <v>645</v>
      </c>
      <c r="C207" s="18">
        <v>68.0</v>
      </c>
      <c r="D207" s="12" t="s">
        <v>678</v>
      </c>
      <c r="E207" s="12" t="s">
        <v>679</v>
      </c>
      <c r="F207" s="18">
        <v>2.0</v>
      </c>
      <c r="G207" s="13">
        <f t="shared" si="1"/>
        <v>0</v>
      </c>
      <c r="H207" s="14">
        <f t="shared" si="8"/>
        <v>0</v>
      </c>
      <c r="I207" s="15" t="s">
        <v>527</v>
      </c>
      <c r="J207" s="16" t="s">
        <v>28</v>
      </c>
      <c r="K207" s="5" t="s">
        <v>648</v>
      </c>
      <c r="L207" s="17"/>
      <c r="M207" s="17"/>
      <c r="N207" s="5" t="s">
        <v>528</v>
      </c>
      <c r="O207" s="19">
        <v>46112.0</v>
      </c>
      <c r="P207" s="20"/>
      <c r="Q207" s="26">
        <v>2.0</v>
      </c>
      <c r="R207" s="26">
        <v>2.0</v>
      </c>
      <c r="S207" s="28"/>
      <c r="T207" s="21" t="str">
        <f t="shared" si="3"/>
        <v>3. TRANSPARÊNCIA - GESTÃO DE PESSOAS - Servidores cedidos para outros órgãos</v>
      </c>
      <c r="U207" s="22">
        <f t="shared" si="4"/>
        <v>2</v>
      </c>
      <c r="V207" s="23">
        <f>IFERROR(VLOOKUP(T207,'Parcial - Prestação de contas'!A:D,4, ),0)</f>
        <v>0</v>
      </c>
    </row>
    <row r="208">
      <c r="A208" s="10" t="s">
        <v>523</v>
      </c>
      <c r="B208" s="10" t="s">
        <v>645</v>
      </c>
      <c r="C208" s="18">
        <v>69.0</v>
      </c>
      <c r="D208" s="12" t="s">
        <v>680</v>
      </c>
      <c r="E208" s="12" t="s">
        <v>681</v>
      </c>
      <c r="F208" s="18">
        <v>3.0</v>
      </c>
      <c r="G208" s="13">
        <f t="shared" si="1"/>
        <v>0</v>
      </c>
      <c r="H208" s="14">
        <f t="shared" si="8"/>
        <v>0</v>
      </c>
      <c r="I208" s="15" t="s">
        <v>527</v>
      </c>
      <c r="J208" s="16" t="s">
        <v>28</v>
      </c>
      <c r="K208" s="5" t="s">
        <v>648</v>
      </c>
      <c r="L208" s="17"/>
      <c r="M208" s="17"/>
      <c r="N208" s="5" t="s">
        <v>528</v>
      </c>
      <c r="O208" s="19">
        <v>46112.0</v>
      </c>
      <c r="P208" s="20"/>
      <c r="Q208" s="26">
        <v>3.0</v>
      </c>
      <c r="R208" s="26">
        <v>3.0</v>
      </c>
      <c r="S208" s="28"/>
      <c r="T208" s="21" t="str">
        <f t="shared" si="3"/>
        <v>3. TRANSPARÊNCIA - GESTÃO DE PESSOAS - Remuneração dos Servidores</v>
      </c>
      <c r="U208" s="22">
        <f t="shared" si="4"/>
        <v>3</v>
      </c>
      <c r="V208" s="23">
        <f>IFERROR(VLOOKUP(T208,'Parcial - Prestação de contas'!A:D,4, ),0)</f>
        <v>0</v>
      </c>
    </row>
    <row r="209">
      <c r="A209" s="10" t="s">
        <v>523</v>
      </c>
      <c r="B209" s="10" t="s">
        <v>645</v>
      </c>
      <c r="C209" s="18">
        <v>70.0</v>
      </c>
      <c r="D209" s="12" t="s">
        <v>682</v>
      </c>
      <c r="E209" s="12" t="s">
        <v>683</v>
      </c>
      <c r="F209" s="18">
        <v>3.0</v>
      </c>
      <c r="G209" s="13">
        <f t="shared" si="1"/>
        <v>0</v>
      </c>
      <c r="H209" s="14">
        <f t="shared" si="8"/>
        <v>0</v>
      </c>
      <c r="I209" s="15" t="s">
        <v>527</v>
      </c>
      <c r="J209" s="16" t="s">
        <v>28</v>
      </c>
      <c r="K209" s="5" t="s">
        <v>560</v>
      </c>
      <c r="L209" s="17"/>
      <c r="M209" s="17"/>
      <c r="N209" s="5" t="s">
        <v>528</v>
      </c>
      <c r="O209" s="19">
        <v>46112.0</v>
      </c>
      <c r="P209" s="20"/>
      <c r="Q209" s="26">
        <v>3.0</v>
      </c>
      <c r="R209" s="26">
        <v>3.0</v>
      </c>
      <c r="S209" s="28"/>
      <c r="T209" s="21" t="str">
        <f t="shared" si="3"/>
        <v>3. TRANSPARÊNCIA - GESTÃO DE PESSOAS - Publicação das Diárias e Passagens</v>
      </c>
      <c r="U209" s="22">
        <f t="shared" si="4"/>
        <v>3</v>
      </c>
      <c r="V209" s="23">
        <f>IFERROR(VLOOKUP(T209,'Parcial - Prestação de contas'!A:D,4, ),0)</f>
        <v>0</v>
      </c>
    </row>
    <row r="210">
      <c r="A210" s="10" t="s">
        <v>523</v>
      </c>
      <c r="B210" s="10" t="s">
        <v>645</v>
      </c>
      <c r="C210" s="18">
        <v>71.0</v>
      </c>
      <c r="D210" s="12" t="s">
        <v>684</v>
      </c>
      <c r="E210" s="12" t="s">
        <v>685</v>
      </c>
      <c r="F210" s="18">
        <v>2.0</v>
      </c>
      <c r="G210" s="13">
        <f t="shared" si="1"/>
        <v>0</v>
      </c>
      <c r="H210" s="14">
        <f t="shared" si="8"/>
        <v>0</v>
      </c>
      <c r="I210" s="15" t="s">
        <v>527</v>
      </c>
      <c r="J210" s="16" t="s">
        <v>28</v>
      </c>
      <c r="K210" s="5" t="s">
        <v>648</v>
      </c>
      <c r="L210" s="17"/>
      <c r="M210" s="17"/>
      <c r="N210" s="5" t="s">
        <v>528</v>
      </c>
      <c r="O210" s="19">
        <v>46112.0</v>
      </c>
      <c r="P210" s="20"/>
      <c r="Q210" s="26">
        <v>2.0</v>
      </c>
      <c r="R210" s="26">
        <v>2.0</v>
      </c>
      <c r="S210" s="28"/>
      <c r="T210" s="21" t="str">
        <f t="shared" si="3"/>
        <v>3. TRANSPARÊNCIA - GESTÃO DE PESSOAS - Servidores que estão em teletrabalho</v>
      </c>
      <c r="U210" s="22">
        <f t="shared" si="4"/>
        <v>2</v>
      </c>
      <c r="V210" s="23">
        <f>IFERROR(VLOOKUP(T210,'Parcial - Prestação de contas'!A:D,4, ),0)</f>
        <v>0</v>
      </c>
    </row>
    <row r="211">
      <c r="A211" s="10" t="s">
        <v>523</v>
      </c>
      <c r="B211" s="10" t="s">
        <v>645</v>
      </c>
      <c r="C211" s="18">
        <v>72.0</v>
      </c>
      <c r="D211" s="12" t="s">
        <v>686</v>
      </c>
      <c r="E211" s="12" t="s">
        <v>687</v>
      </c>
      <c r="F211" s="18">
        <v>2.0</v>
      </c>
      <c r="G211" s="13">
        <f t="shared" si="1"/>
        <v>0</v>
      </c>
      <c r="H211" s="14">
        <f t="shared" si="8"/>
        <v>0</v>
      </c>
      <c r="I211" s="15" t="s">
        <v>527</v>
      </c>
      <c r="J211" s="16" t="s">
        <v>28</v>
      </c>
      <c r="K211" s="5" t="s">
        <v>560</v>
      </c>
      <c r="L211" s="17"/>
      <c r="M211" s="17"/>
      <c r="N211" s="5" t="s">
        <v>528</v>
      </c>
      <c r="O211" s="19">
        <v>46112.0</v>
      </c>
      <c r="P211" s="20"/>
      <c r="Q211" s="26">
        <v>2.0</v>
      </c>
      <c r="R211" s="26">
        <v>2.0</v>
      </c>
      <c r="S211" s="28"/>
      <c r="T211" s="21" t="str">
        <f t="shared" si="3"/>
        <v>3. TRANSPARÊNCIA - GESTÃO DE PESSOAS - Relação dos Peritos</v>
      </c>
      <c r="U211" s="22">
        <f t="shared" si="4"/>
        <v>2</v>
      </c>
      <c r="V211" s="23">
        <f>IFERROR(VLOOKUP(T211,'Parcial - Prestação de contas'!A:D,4, ),0)</f>
        <v>0</v>
      </c>
    </row>
    <row r="212">
      <c r="A212" s="10" t="s">
        <v>523</v>
      </c>
      <c r="B212" s="10" t="s">
        <v>688</v>
      </c>
      <c r="C212" s="18">
        <v>73.0</v>
      </c>
      <c r="D212" s="12" t="s">
        <v>689</v>
      </c>
      <c r="E212" s="12" t="s">
        <v>690</v>
      </c>
      <c r="F212" s="18">
        <v>2.0</v>
      </c>
      <c r="G212" s="13">
        <f t="shared" si="1"/>
        <v>0</v>
      </c>
      <c r="H212" s="14">
        <f t="shared" si="8"/>
        <v>0</v>
      </c>
      <c r="I212" s="15" t="s">
        <v>527</v>
      </c>
      <c r="J212" s="25" t="s">
        <v>51</v>
      </c>
      <c r="K212" s="5" t="s">
        <v>52</v>
      </c>
      <c r="L212" s="17"/>
      <c r="M212" s="17"/>
      <c r="N212" s="5" t="s">
        <v>528</v>
      </c>
      <c r="O212" s="19">
        <v>46112.0</v>
      </c>
      <c r="P212" s="20"/>
      <c r="Q212" s="26">
        <v>2.0</v>
      </c>
      <c r="R212" s="26">
        <v>2.0</v>
      </c>
      <c r="S212" s="28"/>
      <c r="T212" s="21" t="str">
        <f t="shared" si="3"/>
        <v>3. TRANSPARÊNCIA - AUDITORIA E PRESTAÇÃO DE CONTAS - Prestações de contas do ano anterior</v>
      </c>
      <c r="U212" s="22">
        <f t="shared" si="4"/>
        <v>2</v>
      </c>
      <c r="V212" s="23">
        <f>IFERROR(VLOOKUP(T212,'Parcial - Prestação de contas'!A:D,4, ),0)</f>
        <v>0</v>
      </c>
    </row>
    <row r="213">
      <c r="A213" s="10" t="s">
        <v>523</v>
      </c>
      <c r="B213" s="10" t="s">
        <v>688</v>
      </c>
      <c r="C213" s="18">
        <v>74.0</v>
      </c>
      <c r="D213" s="12" t="s">
        <v>691</v>
      </c>
      <c r="E213" s="12" t="s">
        <v>692</v>
      </c>
      <c r="F213" s="18">
        <v>1.0</v>
      </c>
      <c r="G213" s="13">
        <f t="shared" si="1"/>
        <v>0</v>
      </c>
      <c r="H213" s="14">
        <f t="shared" si="8"/>
        <v>0</v>
      </c>
      <c r="I213" s="15" t="s">
        <v>527</v>
      </c>
      <c r="J213" s="25" t="s">
        <v>51</v>
      </c>
      <c r="K213" s="5" t="s">
        <v>52</v>
      </c>
      <c r="L213" s="17"/>
      <c r="M213" s="17"/>
      <c r="N213" s="5" t="s">
        <v>528</v>
      </c>
      <c r="O213" s="19">
        <v>46112.0</v>
      </c>
      <c r="P213" s="20"/>
      <c r="Q213" s="26">
        <v>1.0</v>
      </c>
      <c r="R213" s="26">
        <v>1.0</v>
      </c>
      <c r="S213" s="28"/>
      <c r="T213" s="21" t="str">
        <f t="shared" si="3"/>
        <v>3. TRANSPARÊNCIA - AUDITORIA E PRESTAÇÃO DE CONTAS - Regularidade das contas proferida pelo Órgão de Controle Externo</v>
      </c>
      <c r="U213" s="22">
        <f t="shared" si="4"/>
        <v>1</v>
      </c>
      <c r="V213" s="23">
        <f>IFERROR(VLOOKUP(T213,'Parcial - Prestação de contas'!A:D,4, ),0)</f>
        <v>0</v>
      </c>
    </row>
    <row r="214">
      <c r="A214" s="10" t="s">
        <v>523</v>
      </c>
      <c r="B214" s="10" t="s">
        <v>688</v>
      </c>
      <c r="C214" s="18">
        <v>75.0</v>
      </c>
      <c r="D214" s="12" t="s">
        <v>693</v>
      </c>
      <c r="E214" s="12" t="s">
        <v>694</v>
      </c>
      <c r="F214" s="18">
        <v>3.0</v>
      </c>
      <c r="G214" s="13">
        <f t="shared" si="1"/>
        <v>0</v>
      </c>
      <c r="H214" s="14">
        <f t="shared" si="8"/>
        <v>0</v>
      </c>
      <c r="I214" s="15" t="s">
        <v>527</v>
      </c>
      <c r="J214" s="25" t="s">
        <v>51</v>
      </c>
      <c r="K214" s="5" t="s">
        <v>695</v>
      </c>
      <c r="L214" s="17"/>
      <c r="M214" s="17"/>
      <c r="N214" s="5" t="s">
        <v>528</v>
      </c>
      <c r="O214" s="19">
        <v>46112.0</v>
      </c>
      <c r="P214" s="20"/>
      <c r="Q214" s="26">
        <v>3.0</v>
      </c>
      <c r="R214" s="26">
        <v>3.0</v>
      </c>
      <c r="S214" s="28"/>
      <c r="T214" s="21" t="str">
        <f t="shared" si="3"/>
        <v>3. TRANSPARÊNCIA - AUDITORIA E PRESTAÇÃO DE CONTAS - Certificado de auditoria</v>
      </c>
      <c r="U214" s="22">
        <f t="shared" si="4"/>
        <v>3</v>
      </c>
      <c r="V214" s="23">
        <f>IFERROR(VLOOKUP(T214,'Parcial - Prestação de contas'!A:D,4, ),0)</f>
        <v>0</v>
      </c>
    </row>
    <row r="215">
      <c r="A215" s="10" t="s">
        <v>523</v>
      </c>
      <c r="B215" s="10" t="s">
        <v>688</v>
      </c>
      <c r="C215" s="18">
        <v>76.0</v>
      </c>
      <c r="D215" s="12" t="s">
        <v>696</v>
      </c>
      <c r="E215" s="12" t="s">
        <v>697</v>
      </c>
      <c r="F215" s="18">
        <v>3.0</v>
      </c>
      <c r="G215" s="13">
        <f t="shared" si="1"/>
        <v>0</v>
      </c>
      <c r="H215" s="14">
        <f t="shared" si="8"/>
        <v>0</v>
      </c>
      <c r="I215" s="15" t="s">
        <v>527</v>
      </c>
      <c r="J215" s="25" t="s">
        <v>51</v>
      </c>
      <c r="K215" s="5" t="s">
        <v>695</v>
      </c>
      <c r="L215" s="17"/>
      <c r="M215" s="17"/>
      <c r="N215" s="5" t="s">
        <v>528</v>
      </c>
      <c r="O215" s="19">
        <v>46112.0</v>
      </c>
      <c r="P215" s="20"/>
      <c r="Q215" s="26">
        <v>3.0</v>
      </c>
      <c r="R215" s="26">
        <v>3.0</v>
      </c>
      <c r="S215" s="28"/>
      <c r="T215" s="21" t="str">
        <f t="shared" si="3"/>
        <v>3. TRANSPARÊNCIA - AUDITORIA E PRESTAÇÃO DE CONTAS - Plano Anual de Auditoria</v>
      </c>
      <c r="U215" s="22">
        <f t="shared" si="4"/>
        <v>3</v>
      </c>
      <c r="V215" s="23">
        <f>IFERROR(VLOOKUP(T215,'Parcial - Prestação de contas'!A:D,4, ),0)</f>
        <v>0</v>
      </c>
    </row>
    <row r="216">
      <c r="A216" s="10" t="s">
        <v>523</v>
      </c>
      <c r="B216" s="10" t="s">
        <v>688</v>
      </c>
      <c r="C216" s="18">
        <v>77.0</v>
      </c>
      <c r="D216" s="12" t="s">
        <v>698</v>
      </c>
      <c r="E216" s="12" t="s">
        <v>699</v>
      </c>
      <c r="F216" s="18">
        <v>3.0</v>
      </c>
      <c r="G216" s="13">
        <f t="shared" si="1"/>
        <v>0</v>
      </c>
      <c r="H216" s="14">
        <f t="shared" si="8"/>
        <v>0</v>
      </c>
      <c r="I216" s="15" t="s">
        <v>527</v>
      </c>
      <c r="J216" s="25" t="s">
        <v>51</v>
      </c>
      <c r="K216" s="5" t="s">
        <v>695</v>
      </c>
      <c r="L216" s="17"/>
      <c r="M216" s="17"/>
      <c r="N216" s="5" t="s">
        <v>528</v>
      </c>
      <c r="O216" s="19">
        <v>46112.0</v>
      </c>
      <c r="P216" s="20"/>
      <c r="Q216" s="26">
        <v>3.0</v>
      </c>
      <c r="R216" s="26">
        <v>3.0</v>
      </c>
      <c r="S216" s="28"/>
      <c r="T216" s="21" t="str">
        <f t="shared" si="3"/>
        <v>3. TRANSPARÊNCIA - AUDITORIA E PRESTAÇÃO DE CONTAS - Plano Anual de Capacitação de Auditoria</v>
      </c>
      <c r="U216" s="22">
        <f t="shared" si="4"/>
        <v>3</v>
      </c>
      <c r="V216" s="23">
        <f>IFERROR(VLOOKUP(T216,'Parcial - Prestação de contas'!A:D,4, ),0)</f>
        <v>0</v>
      </c>
    </row>
    <row r="217">
      <c r="A217" s="10" t="s">
        <v>523</v>
      </c>
      <c r="B217" s="10" t="s">
        <v>688</v>
      </c>
      <c r="C217" s="18">
        <v>78.0</v>
      </c>
      <c r="D217" s="12" t="s">
        <v>700</v>
      </c>
      <c r="E217" s="12" t="s">
        <v>701</v>
      </c>
      <c r="F217" s="18">
        <v>3.0</v>
      </c>
      <c r="G217" s="13">
        <f t="shared" si="1"/>
        <v>0</v>
      </c>
      <c r="H217" s="14">
        <f t="shared" si="8"/>
        <v>0</v>
      </c>
      <c r="I217" s="15" t="s">
        <v>527</v>
      </c>
      <c r="J217" s="25" t="s">
        <v>51</v>
      </c>
      <c r="K217" s="5" t="s">
        <v>695</v>
      </c>
      <c r="L217" s="17"/>
      <c r="M217" s="17"/>
      <c r="N217" s="5" t="s">
        <v>528</v>
      </c>
      <c r="O217" s="19">
        <v>46112.0</v>
      </c>
      <c r="P217" s="20"/>
      <c r="Q217" s="26">
        <v>3.0</v>
      </c>
      <c r="R217" s="26">
        <v>3.0</v>
      </c>
      <c r="S217" s="28"/>
      <c r="T217" s="21" t="str">
        <f t="shared" si="3"/>
        <v>3. TRANSPARÊNCIA - AUDITORIA E PRESTAÇÃO DE CONTAS - Relatório Anual das Atividades Exercidas</v>
      </c>
      <c r="U217" s="22">
        <f t="shared" si="4"/>
        <v>3</v>
      </c>
      <c r="V217" s="23">
        <f>IFERROR(VLOOKUP(T217,'Parcial - Prestação de contas'!A:D,4, ),0)</f>
        <v>0</v>
      </c>
    </row>
    <row r="218">
      <c r="A218" s="10" t="s">
        <v>523</v>
      </c>
      <c r="B218" s="10" t="s">
        <v>702</v>
      </c>
      <c r="C218" s="18">
        <v>79.0</v>
      </c>
      <c r="D218" s="12" t="s">
        <v>703</v>
      </c>
      <c r="E218" s="12" t="s">
        <v>704</v>
      </c>
      <c r="F218" s="18">
        <v>3.0</v>
      </c>
      <c r="G218" s="13">
        <f t="shared" si="1"/>
        <v>0</v>
      </c>
      <c r="H218" s="14">
        <f t="shared" si="8"/>
        <v>0</v>
      </c>
      <c r="I218" s="15" t="s">
        <v>527</v>
      </c>
      <c r="J218" s="25" t="s">
        <v>68</v>
      </c>
      <c r="K218" s="5" t="s">
        <v>69</v>
      </c>
      <c r="L218" s="17"/>
      <c r="M218" s="17"/>
      <c r="N218" s="5" t="s">
        <v>528</v>
      </c>
      <c r="O218" s="19">
        <v>46112.0</v>
      </c>
      <c r="P218" s="20"/>
      <c r="Q218" s="26">
        <v>3.0</v>
      </c>
      <c r="R218" s="26">
        <v>0.0</v>
      </c>
      <c r="S218" s="28"/>
      <c r="T218" s="21" t="str">
        <f t="shared" si="3"/>
        <v>3. TRANSPARÊNCIA - SUSTENTABILIDADE E ACESSIBILIDADE - PLS</v>
      </c>
      <c r="U218" s="22">
        <f t="shared" si="4"/>
        <v>3</v>
      </c>
      <c r="V218" s="23">
        <f>IFERROR(VLOOKUP(T218,'Parcial - Prestação de contas'!A:D,4, ),0)</f>
        <v>0</v>
      </c>
    </row>
    <row r="219">
      <c r="A219" s="10" t="s">
        <v>523</v>
      </c>
      <c r="B219" s="10" t="s">
        <v>702</v>
      </c>
      <c r="C219" s="18">
        <v>80.0</v>
      </c>
      <c r="D219" s="12" t="s">
        <v>705</v>
      </c>
      <c r="E219" s="12" t="s">
        <v>706</v>
      </c>
      <c r="F219" s="18">
        <v>3.0</v>
      </c>
      <c r="G219" s="13">
        <f t="shared" si="1"/>
        <v>0</v>
      </c>
      <c r="H219" s="14">
        <f t="shared" si="8"/>
        <v>0</v>
      </c>
      <c r="I219" s="15" t="s">
        <v>527</v>
      </c>
      <c r="J219" s="25" t="s">
        <v>68</v>
      </c>
      <c r="K219" s="5" t="s">
        <v>69</v>
      </c>
      <c r="L219" s="17"/>
      <c r="M219" s="17"/>
      <c r="N219" s="5" t="s">
        <v>528</v>
      </c>
      <c r="O219" s="19">
        <v>46112.0</v>
      </c>
      <c r="P219" s="20"/>
      <c r="Q219" s="26">
        <v>3.0</v>
      </c>
      <c r="R219" s="26">
        <v>3.0</v>
      </c>
      <c r="S219" s="28"/>
      <c r="T219" s="21" t="str">
        <f t="shared" si="3"/>
        <v>3. TRANSPARÊNCIA - SUSTENTABILIDADE E ACESSIBILIDADE - Plano de ação do PLS</v>
      </c>
      <c r="U219" s="22">
        <f t="shared" si="4"/>
        <v>3</v>
      </c>
      <c r="V219" s="23">
        <f>IFERROR(VLOOKUP(T219,'Parcial - Prestação de contas'!A:D,4, ),0)</f>
        <v>0</v>
      </c>
    </row>
    <row r="220">
      <c r="A220" s="10" t="s">
        <v>523</v>
      </c>
      <c r="B220" s="10" t="s">
        <v>702</v>
      </c>
      <c r="C220" s="18">
        <v>81.0</v>
      </c>
      <c r="D220" s="12" t="s">
        <v>707</v>
      </c>
      <c r="E220" s="12" t="s">
        <v>708</v>
      </c>
      <c r="F220" s="18">
        <v>3.0</v>
      </c>
      <c r="G220" s="13">
        <f t="shared" si="1"/>
        <v>0</v>
      </c>
      <c r="H220" s="14">
        <f t="shared" si="8"/>
        <v>0</v>
      </c>
      <c r="I220" s="15" t="s">
        <v>527</v>
      </c>
      <c r="J220" s="25" t="s">
        <v>68</v>
      </c>
      <c r="K220" s="5" t="s">
        <v>69</v>
      </c>
      <c r="L220" s="17"/>
      <c r="M220" s="17"/>
      <c r="N220" s="5" t="s">
        <v>528</v>
      </c>
      <c r="O220" s="19">
        <v>46112.0</v>
      </c>
      <c r="P220" s="20"/>
      <c r="Q220" s="26">
        <v>3.0</v>
      </c>
      <c r="R220" s="26">
        <v>3.0</v>
      </c>
      <c r="S220" s="28"/>
      <c r="T220" s="21" t="str">
        <f t="shared" si="3"/>
        <v>3. TRANSPARÊNCIA - SUSTENTABILIDADE E ACESSIBILIDADE - Relatório de desempenho do PLS</v>
      </c>
      <c r="U220" s="22">
        <f t="shared" si="4"/>
        <v>3</v>
      </c>
      <c r="V220" s="23">
        <f>IFERROR(VLOOKUP(T220,'Parcial - Prestação de contas'!A:D,4, ),0)</f>
        <v>0</v>
      </c>
    </row>
    <row r="221">
      <c r="A221" s="10" t="s">
        <v>523</v>
      </c>
      <c r="B221" s="10" t="s">
        <v>702</v>
      </c>
      <c r="C221" s="18">
        <v>82.0</v>
      </c>
      <c r="D221" s="12" t="s">
        <v>709</v>
      </c>
      <c r="E221" s="12" t="s">
        <v>710</v>
      </c>
      <c r="F221" s="18">
        <v>1.0</v>
      </c>
      <c r="G221" s="13">
        <f t="shared" si="1"/>
        <v>0</v>
      </c>
      <c r="H221" s="14">
        <f t="shared" si="8"/>
        <v>0</v>
      </c>
      <c r="I221" s="15" t="s">
        <v>527</v>
      </c>
      <c r="J221" s="25" t="s">
        <v>68</v>
      </c>
      <c r="K221" s="5" t="s">
        <v>69</v>
      </c>
      <c r="L221" s="17"/>
      <c r="M221" s="17"/>
      <c r="N221" s="5" t="s">
        <v>528</v>
      </c>
      <c r="O221" s="19">
        <v>46112.0</v>
      </c>
      <c r="P221" s="20"/>
      <c r="Q221" s="26">
        <v>1.0</v>
      </c>
      <c r="R221" s="26">
        <v>1.0</v>
      </c>
      <c r="S221" s="28"/>
      <c r="T221" s="21" t="str">
        <f t="shared" si="3"/>
        <v>3. TRANSPARÊNCIA - SUSTENTABILIDADE E ACESSIBILIDADE - Comissão Gestora do PLS</v>
      </c>
      <c r="U221" s="22">
        <f t="shared" si="4"/>
        <v>1</v>
      </c>
      <c r="V221" s="23">
        <f>IFERROR(VLOOKUP(T221,'Parcial - Prestação de contas'!A:D,4, ),0)</f>
        <v>0</v>
      </c>
    </row>
    <row r="222">
      <c r="A222" s="10" t="s">
        <v>523</v>
      </c>
      <c r="B222" s="10" t="s">
        <v>702</v>
      </c>
      <c r="C222" s="18">
        <v>83.0</v>
      </c>
      <c r="D222" s="12" t="s">
        <v>711</v>
      </c>
      <c r="E222" s="12" t="s">
        <v>712</v>
      </c>
      <c r="F222" s="18">
        <v>3.0</v>
      </c>
      <c r="G222" s="13">
        <f t="shared" si="1"/>
        <v>0</v>
      </c>
      <c r="H222" s="14">
        <f t="shared" si="8"/>
        <v>0</v>
      </c>
      <c r="I222" s="15" t="s">
        <v>527</v>
      </c>
      <c r="J222" s="25" t="s">
        <v>186</v>
      </c>
      <c r="K222" s="5" t="s">
        <v>100</v>
      </c>
      <c r="L222" s="17"/>
      <c r="M222" s="17"/>
      <c r="N222" s="5" t="s">
        <v>528</v>
      </c>
      <c r="O222" s="19">
        <v>46112.0</v>
      </c>
      <c r="P222" s="20"/>
      <c r="Q222" s="26">
        <v>3.0</v>
      </c>
      <c r="R222" s="26">
        <v>0.0</v>
      </c>
      <c r="S222" s="28"/>
      <c r="T222" s="21" t="str">
        <f t="shared" si="3"/>
        <v>3. TRANSPARÊNCIA - SUSTENTABILIDADE E ACESSIBILIDADE - Ínterprete de Libras</v>
      </c>
      <c r="U222" s="22">
        <f t="shared" si="4"/>
        <v>3</v>
      </c>
      <c r="V222" s="23">
        <f>IFERROR(VLOOKUP(T222,'Parcial - Prestação de contas'!A:D,4, ),0)</f>
        <v>0</v>
      </c>
    </row>
    <row r="223">
      <c r="A223" s="10" t="s">
        <v>523</v>
      </c>
      <c r="B223" s="10" t="s">
        <v>702</v>
      </c>
      <c r="C223" s="18">
        <v>84.0</v>
      </c>
      <c r="D223" s="12" t="s">
        <v>713</v>
      </c>
      <c r="E223" s="12" t="s">
        <v>714</v>
      </c>
      <c r="F223" s="18">
        <v>3.0</v>
      </c>
      <c r="G223" s="13">
        <f t="shared" si="1"/>
        <v>0</v>
      </c>
      <c r="H223" s="14">
        <f t="shared" si="8"/>
        <v>0</v>
      </c>
      <c r="I223" s="15" t="s">
        <v>527</v>
      </c>
      <c r="J223" s="25" t="s">
        <v>186</v>
      </c>
      <c r="K223" s="5" t="s">
        <v>100</v>
      </c>
      <c r="L223" s="17"/>
      <c r="M223" s="17"/>
      <c r="N223" s="5" t="s">
        <v>528</v>
      </c>
      <c r="O223" s="19">
        <v>46112.0</v>
      </c>
      <c r="P223" s="20"/>
      <c r="Q223" s="26">
        <v>3.0</v>
      </c>
      <c r="R223" s="28"/>
      <c r="S223" s="28"/>
      <c r="T223" s="21" t="str">
        <f t="shared" si="3"/>
        <v>3. TRANSPARÊNCIA - SUSTENTABILIDADE E ACESSIBILIDADE - Planejamento das Ações de Acessibilidade</v>
      </c>
      <c r="U223" s="22">
        <f t="shared" si="4"/>
        <v>3</v>
      </c>
      <c r="V223" s="23">
        <f>IFERROR(VLOOKUP(T223,'Parcial - Prestação de contas'!A:D,4, ),0)</f>
        <v>0</v>
      </c>
    </row>
    <row r="224">
      <c r="A224" s="10" t="s">
        <v>523</v>
      </c>
      <c r="B224" s="10" t="s">
        <v>702</v>
      </c>
      <c r="C224" s="18">
        <v>85.0</v>
      </c>
      <c r="D224" s="12" t="s">
        <v>715</v>
      </c>
      <c r="E224" s="12" t="s">
        <v>716</v>
      </c>
      <c r="F224" s="18">
        <v>3.0</v>
      </c>
      <c r="G224" s="13">
        <f t="shared" si="1"/>
        <v>0</v>
      </c>
      <c r="H224" s="14">
        <f t="shared" si="8"/>
        <v>0</v>
      </c>
      <c r="I224" s="15" t="s">
        <v>527</v>
      </c>
      <c r="J224" s="25" t="s">
        <v>178</v>
      </c>
      <c r="K224" s="5" t="s">
        <v>544</v>
      </c>
      <c r="L224" s="17"/>
      <c r="M224" s="17"/>
      <c r="N224" s="5" t="s">
        <v>528</v>
      </c>
      <c r="O224" s="19">
        <v>46112.0</v>
      </c>
      <c r="P224" s="20"/>
      <c r="Q224" s="26">
        <v>3.0</v>
      </c>
      <c r="R224" s="26">
        <v>3.0</v>
      </c>
      <c r="S224" s="28"/>
      <c r="T224" s="21" t="str">
        <f t="shared" si="3"/>
        <v>3. TRANSPARÊNCIA - SUSTENTABILIDADE E ACESSIBILIDADE - Site em aderência ao e-mag</v>
      </c>
      <c r="U224" s="22">
        <f t="shared" si="4"/>
        <v>3</v>
      </c>
      <c r="V224" s="23">
        <f>IFERROR(VLOOKUP(T224,'Parcial - Prestação de contas'!A:D,4, ),0)</f>
        <v>0</v>
      </c>
    </row>
    <row r="225">
      <c r="A225" s="10" t="s">
        <v>523</v>
      </c>
      <c r="B225" s="10" t="s">
        <v>567</v>
      </c>
      <c r="C225" s="39" t="s">
        <v>717</v>
      </c>
      <c r="D225" s="12" t="s">
        <v>718</v>
      </c>
      <c r="E225" s="12" t="s">
        <v>719</v>
      </c>
      <c r="F225" s="18">
        <v>40.0</v>
      </c>
      <c r="G225" s="13">
        <f t="shared" si="1"/>
        <v>0</v>
      </c>
      <c r="H225" s="14">
        <f t="shared" si="8"/>
        <v>0</v>
      </c>
      <c r="I225" s="15" t="s">
        <v>527</v>
      </c>
      <c r="J225" s="25" t="s">
        <v>135</v>
      </c>
      <c r="K225" s="5" t="s">
        <v>567</v>
      </c>
      <c r="L225" s="17"/>
      <c r="M225" s="17"/>
      <c r="N225" s="5" t="s">
        <v>147</v>
      </c>
      <c r="O225" s="19">
        <v>46203.0</v>
      </c>
      <c r="P225" s="20"/>
      <c r="Q225" s="26">
        <v>20.0</v>
      </c>
      <c r="R225" s="26">
        <v>10.0</v>
      </c>
      <c r="S225" s="28"/>
      <c r="T225" s="21" t="str">
        <f t="shared" si="3"/>
        <v>3. TRANSPARÊNCIA - OUVIDORIA - Tempo médio do atendimento das demandas</v>
      </c>
      <c r="U225" s="22">
        <f t="shared" si="4"/>
        <v>40</v>
      </c>
      <c r="V225" s="23">
        <f>IFERROR(VLOOKUP(T225,'Parcial - Prestação de contas'!A:D,4, ),0)</f>
        <v>0</v>
      </c>
    </row>
    <row r="226">
      <c r="C226" s="9"/>
      <c r="K226" s="40"/>
      <c r="L226" s="9"/>
      <c r="M226" s="9"/>
      <c r="N226" s="40"/>
      <c r="O226" s="40"/>
      <c r="P226" s="40"/>
      <c r="Q226" s="41"/>
      <c r="R226" s="41"/>
      <c r="S226" s="41"/>
      <c r="T226" s="21"/>
      <c r="U226" s="21"/>
      <c r="V226" s="42"/>
    </row>
    <row r="227">
      <c r="C227" s="9"/>
      <c r="K227" s="40"/>
      <c r="L227" s="9"/>
      <c r="M227" s="9"/>
      <c r="N227" s="40"/>
      <c r="O227" s="40"/>
      <c r="P227" s="40"/>
      <c r="Q227" s="41"/>
      <c r="R227" s="41"/>
      <c r="S227" s="41"/>
      <c r="T227" s="21"/>
      <c r="U227" s="21"/>
      <c r="V227" s="42"/>
    </row>
    <row r="228">
      <c r="C228" s="9"/>
      <c r="K228" s="40"/>
      <c r="L228" s="9"/>
      <c r="M228" s="9"/>
      <c r="N228" s="40"/>
      <c r="O228" s="40"/>
      <c r="P228" s="40"/>
      <c r="Q228" s="41"/>
      <c r="R228" s="41"/>
      <c r="S228" s="41"/>
      <c r="T228" s="21"/>
      <c r="U228" s="21"/>
      <c r="V228" s="42"/>
    </row>
    <row r="229">
      <c r="C229" s="9"/>
      <c r="K229" s="40"/>
      <c r="L229" s="9"/>
      <c r="M229" s="9"/>
      <c r="N229" s="40"/>
      <c r="O229" s="40"/>
      <c r="P229" s="40"/>
      <c r="Q229" s="41"/>
      <c r="R229" s="41"/>
      <c r="S229" s="41"/>
      <c r="T229" s="21"/>
      <c r="U229" s="21"/>
      <c r="V229" s="42"/>
    </row>
    <row r="230">
      <c r="C230" s="9"/>
      <c r="K230" s="40"/>
      <c r="L230" s="9"/>
      <c r="M230" s="9"/>
      <c r="N230" s="40"/>
      <c r="O230" s="40"/>
      <c r="P230" s="40"/>
      <c r="Q230" s="41"/>
      <c r="R230" s="41"/>
      <c r="S230" s="41"/>
      <c r="T230" s="21"/>
      <c r="U230" s="21"/>
      <c r="V230" s="42"/>
    </row>
    <row r="231">
      <c r="C231" s="9"/>
      <c r="K231" s="40"/>
      <c r="L231" s="9"/>
      <c r="M231" s="9"/>
      <c r="N231" s="40"/>
      <c r="O231" s="40"/>
      <c r="P231" s="40"/>
      <c r="Q231" s="41"/>
      <c r="R231" s="41"/>
      <c r="S231" s="41"/>
      <c r="T231" s="21"/>
      <c r="U231" s="21"/>
      <c r="V231" s="42"/>
    </row>
    <row r="232">
      <c r="C232" s="9"/>
      <c r="K232" s="40"/>
      <c r="L232" s="9"/>
      <c r="M232" s="9"/>
      <c r="N232" s="40"/>
      <c r="O232" s="40"/>
      <c r="P232" s="40"/>
      <c r="Q232" s="41"/>
      <c r="R232" s="41"/>
      <c r="S232" s="41"/>
      <c r="T232" s="21"/>
      <c r="U232" s="21"/>
      <c r="V232" s="42"/>
    </row>
    <row r="233">
      <c r="C233" s="9"/>
      <c r="K233" s="40"/>
      <c r="L233" s="9"/>
      <c r="M233" s="9"/>
      <c r="N233" s="40"/>
      <c r="O233" s="40"/>
      <c r="P233" s="40"/>
      <c r="Q233" s="41"/>
      <c r="R233" s="41"/>
      <c r="S233" s="41"/>
      <c r="T233" s="21"/>
      <c r="U233" s="21"/>
      <c r="V233" s="42"/>
    </row>
    <row r="234">
      <c r="C234" s="9"/>
      <c r="K234" s="40"/>
      <c r="L234" s="9"/>
      <c r="M234" s="9"/>
      <c r="N234" s="40"/>
      <c r="O234" s="40"/>
      <c r="P234" s="40"/>
      <c r="Q234" s="41"/>
      <c r="R234" s="41"/>
      <c r="S234" s="41"/>
      <c r="T234" s="21"/>
      <c r="U234" s="21"/>
      <c r="V234" s="42"/>
    </row>
    <row r="235">
      <c r="C235" s="9"/>
      <c r="K235" s="40"/>
      <c r="L235" s="9"/>
      <c r="M235" s="9"/>
      <c r="N235" s="40"/>
      <c r="O235" s="40"/>
      <c r="P235" s="40"/>
      <c r="Q235" s="41"/>
      <c r="R235" s="41"/>
      <c r="S235" s="41"/>
      <c r="T235" s="21"/>
      <c r="U235" s="21"/>
      <c r="V235" s="42"/>
    </row>
    <row r="236">
      <c r="C236" s="9"/>
      <c r="K236" s="40"/>
      <c r="L236" s="9"/>
      <c r="M236" s="9"/>
      <c r="N236" s="40"/>
      <c r="O236" s="40"/>
      <c r="P236" s="40"/>
      <c r="Q236" s="41"/>
      <c r="R236" s="41"/>
      <c r="S236" s="41"/>
      <c r="T236" s="21"/>
      <c r="U236" s="21"/>
      <c r="V236" s="42"/>
    </row>
    <row r="237">
      <c r="C237" s="9"/>
      <c r="K237" s="40"/>
      <c r="L237" s="9"/>
      <c r="M237" s="9"/>
      <c r="N237" s="40"/>
      <c r="O237" s="40"/>
      <c r="P237" s="40"/>
      <c r="Q237" s="41"/>
      <c r="R237" s="41"/>
      <c r="S237" s="41"/>
      <c r="T237" s="21"/>
      <c r="U237" s="21"/>
      <c r="V237" s="42"/>
    </row>
    <row r="238">
      <c r="C238" s="9"/>
      <c r="K238" s="40"/>
      <c r="L238" s="9"/>
      <c r="M238" s="9"/>
      <c r="N238" s="40"/>
      <c r="O238" s="40"/>
      <c r="P238" s="40"/>
      <c r="Q238" s="41"/>
      <c r="R238" s="41"/>
      <c r="S238" s="41"/>
      <c r="T238" s="21"/>
      <c r="U238" s="21"/>
      <c r="V238" s="42"/>
    </row>
    <row r="239">
      <c r="C239" s="9"/>
      <c r="K239" s="40"/>
      <c r="L239" s="9"/>
      <c r="M239" s="9"/>
      <c r="N239" s="40"/>
      <c r="O239" s="40"/>
      <c r="P239" s="40"/>
      <c r="Q239" s="41"/>
      <c r="R239" s="41"/>
      <c r="S239" s="41"/>
      <c r="T239" s="21"/>
      <c r="U239" s="21"/>
      <c r="V239" s="42"/>
    </row>
    <row r="240">
      <c r="C240" s="9"/>
      <c r="K240" s="40"/>
      <c r="L240" s="9"/>
      <c r="M240" s="9"/>
      <c r="N240" s="40"/>
      <c r="O240" s="40"/>
      <c r="P240" s="40"/>
      <c r="Q240" s="41"/>
      <c r="R240" s="41"/>
      <c r="S240" s="41"/>
      <c r="T240" s="21"/>
      <c r="U240" s="21"/>
      <c r="V240" s="42"/>
    </row>
    <row r="241">
      <c r="C241" s="9"/>
      <c r="K241" s="40"/>
      <c r="L241" s="9"/>
      <c r="M241" s="9"/>
      <c r="N241" s="40"/>
      <c r="O241" s="40"/>
      <c r="P241" s="40"/>
      <c r="Q241" s="41"/>
      <c r="R241" s="41"/>
      <c r="S241" s="41"/>
      <c r="T241" s="21"/>
      <c r="U241" s="21"/>
      <c r="V241" s="42"/>
    </row>
    <row r="242">
      <c r="C242" s="9"/>
      <c r="K242" s="40"/>
      <c r="L242" s="9"/>
      <c r="M242" s="9"/>
      <c r="N242" s="40"/>
      <c r="O242" s="40"/>
      <c r="P242" s="40"/>
      <c r="Q242" s="41"/>
      <c r="R242" s="41"/>
      <c r="S242" s="41"/>
      <c r="T242" s="21"/>
      <c r="U242" s="21"/>
      <c r="V242" s="42"/>
    </row>
    <row r="243">
      <c r="C243" s="9"/>
      <c r="K243" s="40"/>
      <c r="L243" s="9"/>
      <c r="M243" s="9"/>
      <c r="N243" s="40"/>
      <c r="O243" s="40"/>
      <c r="P243" s="40"/>
      <c r="Q243" s="41"/>
      <c r="R243" s="41"/>
      <c r="S243" s="41"/>
      <c r="T243" s="21"/>
      <c r="U243" s="21"/>
      <c r="V243" s="42"/>
    </row>
    <row r="244">
      <c r="C244" s="9"/>
      <c r="K244" s="40"/>
      <c r="L244" s="9"/>
      <c r="M244" s="9"/>
      <c r="N244" s="40"/>
      <c r="O244" s="40"/>
      <c r="P244" s="40"/>
      <c r="Q244" s="41"/>
      <c r="R244" s="41"/>
      <c r="S244" s="41"/>
      <c r="T244" s="21"/>
      <c r="U244" s="21"/>
      <c r="V244" s="42"/>
    </row>
    <row r="245">
      <c r="C245" s="9"/>
      <c r="K245" s="40"/>
      <c r="L245" s="9"/>
      <c r="M245" s="9"/>
      <c r="N245" s="40"/>
      <c r="O245" s="40"/>
      <c r="P245" s="40"/>
      <c r="Q245" s="41"/>
      <c r="R245" s="41"/>
      <c r="S245" s="41"/>
      <c r="T245" s="21"/>
      <c r="U245" s="21"/>
      <c r="V245" s="42"/>
    </row>
    <row r="246">
      <c r="C246" s="9"/>
      <c r="K246" s="40"/>
      <c r="L246" s="9"/>
      <c r="M246" s="9"/>
      <c r="N246" s="40"/>
      <c r="O246" s="40"/>
      <c r="P246" s="40"/>
      <c r="Q246" s="41"/>
      <c r="R246" s="41"/>
      <c r="S246" s="41"/>
      <c r="T246" s="21"/>
      <c r="U246" s="21"/>
      <c r="V246" s="42"/>
    </row>
    <row r="247">
      <c r="C247" s="9"/>
      <c r="K247" s="40"/>
      <c r="L247" s="9"/>
      <c r="M247" s="9"/>
      <c r="N247" s="40"/>
      <c r="O247" s="40"/>
      <c r="P247" s="40"/>
      <c r="Q247" s="41"/>
      <c r="R247" s="41"/>
      <c r="S247" s="41"/>
      <c r="T247" s="21"/>
      <c r="U247" s="21"/>
      <c r="V247" s="42"/>
    </row>
    <row r="248">
      <c r="C248" s="9"/>
      <c r="K248" s="40"/>
      <c r="L248" s="9"/>
      <c r="M248" s="9"/>
      <c r="N248" s="40"/>
      <c r="O248" s="40"/>
      <c r="P248" s="40"/>
      <c r="Q248" s="41"/>
      <c r="R248" s="41"/>
      <c r="S248" s="41"/>
      <c r="T248" s="21"/>
      <c r="U248" s="21"/>
      <c r="V248" s="42"/>
    </row>
    <row r="249">
      <c r="C249" s="9"/>
      <c r="K249" s="40"/>
      <c r="L249" s="9"/>
      <c r="M249" s="9"/>
      <c r="N249" s="40"/>
      <c r="O249" s="40"/>
      <c r="P249" s="40"/>
      <c r="Q249" s="41"/>
      <c r="R249" s="41"/>
      <c r="S249" s="41"/>
      <c r="T249" s="21"/>
      <c r="U249" s="21"/>
      <c r="V249" s="42"/>
    </row>
    <row r="250">
      <c r="C250" s="9"/>
      <c r="K250" s="40"/>
      <c r="L250" s="9"/>
      <c r="M250" s="9"/>
      <c r="N250" s="40"/>
      <c r="O250" s="40"/>
      <c r="P250" s="40"/>
      <c r="Q250" s="41"/>
      <c r="R250" s="41"/>
      <c r="S250" s="41"/>
      <c r="T250" s="21"/>
      <c r="U250" s="21"/>
      <c r="V250" s="42"/>
    </row>
    <row r="251">
      <c r="C251" s="9"/>
      <c r="K251" s="40"/>
      <c r="L251" s="9"/>
      <c r="M251" s="9"/>
      <c r="N251" s="40"/>
      <c r="O251" s="40"/>
      <c r="P251" s="40"/>
      <c r="Q251" s="41"/>
      <c r="R251" s="41"/>
      <c r="S251" s="41"/>
      <c r="T251" s="21"/>
      <c r="U251" s="21"/>
      <c r="V251" s="42"/>
    </row>
    <row r="252">
      <c r="C252" s="9"/>
      <c r="K252" s="40"/>
      <c r="L252" s="9"/>
      <c r="M252" s="9"/>
      <c r="N252" s="40"/>
      <c r="O252" s="40"/>
      <c r="P252" s="40"/>
      <c r="Q252" s="41"/>
      <c r="R252" s="41"/>
      <c r="S252" s="41"/>
      <c r="T252" s="21"/>
      <c r="U252" s="21"/>
      <c r="V252" s="42"/>
    </row>
    <row r="253">
      <c r="C253" s="9"/>
      <c r="K253" s="40"/>
      <c r="L253" s="9"/>
      <c r="M253" s="9"/>
      <c r="N253" s="40"/>
      <c r="O253" s="40"/>
      <c r="P253" s="40"/>
      <c r="Q253" s="41"/>
      <c r="R253" s="41"/>
      <c r="S253" s="41"/>
      <c r="T253" s="21"/>
      <c r="U253" s="21"/>
      <c r="V253" s="42"/>
    </row>
    <row r="254">
      <c r="C254" s="9"/>
      <c r="K254" s="40"/>
      <c r="L254" s="9"/>
      <c r="M254" s="9"/>
      <c r="N254" s="40"/>
      <c r="O254" s="40"/>
      <c r="P254" s="40"/>
      <c r="Q254" s="41"/>
      <c r="R254" s="41"/>
      <c r="S254" s="41"/>
      <c r="T254" s="21"/>
      <c r="U254" s="21"/>
      <c r="V254" s="42"/>
    </row>
    <row r="255">
      <c r="C255" s="9"/>
      <c r="K255" s="40"/>
      <c r="L255" s="9"/>
      <c r="M255" s="9"/>
      <c r="N255" s="40"/>
      <c r="O255" s="40"/>
      <c r="P255" s="40"/>
      <c r="Q255" s="41"/>
      <c r="R255" s="41"/>
      <c r="S255" s="41"/>
      <c r="T255" s="21"/>
      <c r="U255" s="21"/>
      <c r="V255" s="42"/>
    </row>
    <row r="256">
      <c r="C256" s="9"/>
      <c r="K256" s="40"/>
      <c r="L256" s="9"/>
      <c r="M256" s="9"/>
      <c r="N256" s="40"/>
      <c r="O256" s="40"/>
      <c r="P256" s="40"/>
      <c r="Q256" s="41"/>
      <c r="R256" s="41"/>
      <c r="S256" s="41"/>
      <c r="T256" s="21"/>
      <c r="U256" s="21"/>
      <c r="V256" s="42"/>
    </row>
    <row r="257">
      <c r="C257" s="9"/>
      <c r="K257" s="40"/>
      <c r="L257" s="9"/>
      <c r="M257" s="9"/>
      <c r="N257" s="40"/>
      <c r="O257" s="40"/>
      <c r="P257" s="40"/>
      <c r="Q257" s="41"/>
      <c r="R257" s="41"/>
      <c r="S257" s="41"/>
      <c r="T257" s="21"/>
      <c r="U257" s="21"/>
      <c r="V257" s="42"/>
    </row>
    <row r="258">
      <c r="C258" s="9"/>
      <c r="K258" s="40"/>
      <c r="L258" s="9"/>
      <c r="M258" s="9"/>
      <c r="N258" s="40"/>
      <c r="O258" s="40"/>
      <c r="P258" s="40"/>
      <c r="Q258" s="41"/>
      <c r="R258" s="41"/>
      <c r="S258" s="41"/>
      <c r="T258" s="21"/>
      <c r="U258" s="21"/>
      <c r="V258" s="42"/>
    </row>
    <row r="259">
      <c r="C259" s="9"/>
      <c r="K259" s="40"/>
      <c r="L259" s="9"/>
      <c r="M259" s="9"/>
      <c r="N259" s="40"/>
      <c r="O259" s="40"/>
      <c r="P259" s="40"/>
      <c r="Q259" s="41"/>
      <c r="R259" s="41"/>
      <c r="S259" s="41"/>
      <c r="T259" s="21"/>
      <c r="U259" s="21"/>
      <c r="V259" s="42"/>
    </row>
    <row r="260">
      <c r="C260" s="9"/>
      <c r="K260" s="40"/>
      <c r="L260" s="9"/>
      <c r="M260" s="9"/>
      <c r="N260" s="40"/>
      <c r="O260" s="40"/>
      <c r="P260" s="40"/>
      <c r="Q260" s="41"/>
      <c r="R260" s="41"/>
      <c r="S260" s="41"/>
      <c r="T260" s="21"/>
      <c r="U260" s="21"/>
      <c r="V260" s="42"/>
    </row>
    <row r="261">
      <c r="C261" s="9"/>
      <c r="K261" s="40"/>
      <c r="L261" s="9"/>
      <c r="M261" s="9"/>
      <c r="N261" s="40"/>
      <c r="O261" s="40"/>
      <c r="P261" s="40"/>
      <c r="Q261" s="41"/>
      <c r="R261" s="41"/>
      <c r="S261" s="41"/>
      <c r="T261" s="21"/>
      <c r="U261" s="21"/>
      <c r="V261" s="42"/>
    </row>
    <row r="262">
      <c r="C262" s="9"/>
      <c r="K262" s="40"/>
      <c r="L262" s="9"/>
      <c r="M262" s="9"/>
      <c r="N262" s="40"/>
      <c r="O262" s="40"/>
      <c r="P262" s="40"/>
      <c r="Q262" s="41"/>
      <c r="R262" s="41"/>
      <c r="S262" s="41"/>
      <c r="T262" s="21"/>
      <c r="U262" s="21"/>
      <c r="V262" s="42"/>
    </row>
    <row r="263">
      <c r="C263" s="9"/>
      <c r="K263" s="40"/>
      <c r="L263" s="9"/>
      <c r="M263" s="9"/>
      <c r="N263" s="40"/>
      <c r="O263" s="40"/>
      <c r="P263" s="40"/>
      <c r="Q263" s="41"/>
      <c r="R263" s="41"/>
      <c r="S263" s="41"/>
      <c r="T263" s="21"/>
      <c r="U263" s="21"/>
      <c r="V263" s="42"/>
    </row>
    <row r="264">
      <c r="C264" s="9"/>
      <c r="K264" s="40"/>
      <c r="L264" s="9"/>
      <c r="M264" s="9"/>
      <c r="N264" s="40"/>
      <c r="O264" s="40"/>
      <c r="P264" s="40"/>
      <c r="Q264" s="41"/>
      <c r="R264" s="41"/>
      <c r="S264" s="41"/>
      <c r="T264" s="21"/>
      <c r="U264" s="21"/>
      <c r="V264" s="42"/>
    </row>
    <row r="265">
      <c r="C265" s="9"/>
      <c r="K265" s="40"/>
      <c r="L265" s="9"/>
      <c r="M265" s="9"/>
      <c r="N265" s="40"/>
      <c r="O265" s="40"/>
      <c r="P265" s="40"/>
      <c r="Q265" s="41"/>
      <c r="R265" s="41"/>
      <c r="S265" s="41"/>
      <c r="T265" s="21"/>
      <c r="U265" s="21"/>
      <c r="V265" s="42"/>
    </row>
    <row r="266">
      <c r="C266" s="9"/>
      <c r="K266" s="40"/>
      <c r="L266" s="9"/>
      <c r="M266" s="9"/>
      <c r="N266" s="40"/>
      <c r="O266" s="40"/>
      <c r="P266" s="40"/>
      <c r="Q266" s="41"/>
      <c r="R266" s="41"/>
      <c r="S266" s="41"/>
      <c r="T266" s="21"/>
      <c r="U266" s="21"/>
      <c r="V266" s="42"/>
    </row>
    <row r="267">
      <c r="C267" s="9"/>
      <c r="K267" s="40"/>
      <c r="L267" s="9"/>
      <c r="M267" s="9"/>
      <c r="N267" s="40"/>
      <c r="O267" s="40"/>
      <c r="P267" s="40"/>
      <c r="Q267" s="41"/>
      <c r="R267" s="41"/>
      <c r="S267" s="41"/>
      <c r="T267" s="21"/>
      <c r="U267" s="21"/>
      <c r="V267" s="42"/>
    </row>
    <row r="268">
      <c r="C268" s="9"/>
      <c r="K268" s="40"/>
      <c r="L268" s="9"/>
      <c r="M268" s="9"/>
      <c r="N268" s="40"/>
      <c r="O268" s="40"/>
      <c r="P268" s="40"/>
      <c r="Q268" s="41"/>
      <c r="R268" s="41"/>
      <c r="S268" s="41"/>
      <c r="T268" s="21"/>
      <c r="U268" s="21"/>
      <c r="V268" s="42"/>
    </row>
    <row r="269">
      <c r="C269" s="9"/>
      <c r="K269" s="40"/>
      <c r="L269" s="9"/>
      <c r="M269" s="9"/>
      <c r="N269" s="40"/>
      <c r="O269" s="40"/>
      <c r="P269" s="40"/>
      <c r="Q269" s="41"/>
      <c r="R269" s="41"/>
      <c r="S269" s="41"/>
      <c r="T269" s="21"/>
      <c r="U269" s="21"/>
      <c r="V269" s="42"/>
    </row>
    <row r="270">
      <c r="C270" s="9"/>
      <c r="K270" s="40"/>
      <c r="L270" s="9"/>
      <c r="M270" s="9"/>
      <c r="N270" s="40"/>
      <c r="O270" s="40"/>
      <c r="P270" s="40"/>
      <c r="Q270" s="41"/>
      <c r="R270" s="41"/>
      <c r="S270" s="41"/>
      <c r="T270" s="21"/>
      <c r="U270" s="21"/>
      <c r="V270" s="42"/>
    </row>
    <row r="271">
      <c r="C271" s="9"/>
      <c r="K271" s="40"/>
      <c r="L271" s="9"/>
      <c r="M271" s="9"/>
      <c r="N271" s="40"/>
      <c r="O271" s="40"/>
      <c r="P271" s="40"/>
      <c r="Q271" s="41"/>
      <c r="R271" s="41"/>
      <c r="S271" s="41"/>
      <c r="T271" s="21"/>
      <c r="U271" s="21"/>
      <c r="V271" s="42"/>
    </row>
    <row r="272">
      <c r="C272" s="9"/>
      <c r="K272" s="40"/>
      <c r="L272" s="9"/>
      <c r="M272" s="9"/>
      <c r="N272" s="40"/>
      <c r="O272" s="40"/>
      <c r="P272" s="40"/>
      <c r="Q272" s="41"/>
      <c r="R272" s="41"/>
      <c r="S272" s="41"/>
      <c r="T272" s="21"/>
      <c r="U272" s="21"/>
      <c r="V272" s="42"/>
    </row>
    <row r="273">
      <c r="C273" s="9"/>
      <c r="K273" s="40"/>
      <c r="L273" s="9"/>
      <c r="M273" s="9"/>
      <c r="N273" s="40"/>
      <c r="O273" s="40"/>
      <c r="P273" s="40"/>
      <c r="Q273" s="41"/>
      <c r="R273" s="41"/>
      <c r="S273" s="41"/>
      <c r="T273" s="21"/>
      <c r="U273" s="21"/>
      <c r="V273" s="42"/>
    </row>
    <row r="274">
      <c r="C274" s="9"/>
      <c r="K274" s="40"/>
      <c r="L274" s="9"/>
      <c r="M274" s="9"/>
      <c r="N274" s="40"/>
      <c r="O274" s="40"/>
      <c r="P274" s="40"/>
      <c r="Q274" s="41"/>
      <c r="R274" s="41"/>
      <c r="S274" s="41"/>
      <c r="T274" s="21"/>
      <c r="U274" s="21"/>
      <c r="V274" s="42"/>
    </row>
    <row r="275">
      <c r="C275" s="9"/>
      <c r="K275" s="40"/>
      <c r="L275" s="9"/>
      <c r="M275" s="9"/>
      <c r="N275" s="40"/>
      <c r="O275" s="40"/>
      <c r="P275" s="40"/>
      <c r="Q275" s="41"/>
      <c r="R275" s="41"/>
      <c r="S275" s="41"/>
      <c r="T275" s="21"/>
      <c r="U275" s="21"/>
      <c r="V275" s="42"/>
    </row>
    <row r="276">
      <c r="C276" s="9"/>
      <c r="K276" s="40"/>
      <c r="L276" s="9"/>
      <c r="M276" s="9"/>
      <c r="N276" s="40"/>
      <c r="O276" s="40"/>
      <c r="P276" s="40"/>
      <c r="Q276" s="41"/>
      <c r="R276" s="41"/>
      <c r="S276" s="41"/>
      <c r="T276" s="21"/>
      <c r="U276" s="21"/>
      <c r="V276" s="42"/>
    </row>
    <row r="277">
      <c r="C277" s="9"/>
      <c r="K277" s="40"/>
      <c r="L277" s="9"/>
      <c r="M277" s="9"/>
      <c r="N277" s="40"/>
      <c r="O277" s="40"/>
      <c r="P277" s="40"/>
      <c r="Q277" s="41"/>
      <c r="R277" s="41"/>
      <c r="S277" s="41"/>
      <c r="T277" s="21"/>
      <c r="U277" s="21"/>
      <c r="V277" s="42"/>
    </row>
    <row r="278">
      <c r="C278" s="9"/>
      <c r="K278" s="40"/>
      <c r="L278" s="9"/>
      <c r="M278" s="9"/>
      <c r="N278" s="40"/>
      <c r="O278" s="40"/>
      <c r="P278" s="40"/>
      <c r="Q278" s="41"/>
      <c r="R278" s="41"/>
      <c r="S278" s="41"/>
      <c r="T278" s="21"/>
      <c r="U278" s="21"/>
      <c r="V278" s="42"/>
    </row>
    <row r="279">
      <c r="C279" s="9"/>
      <c r="K279" s="40"/>
      <c r="L279" s="9"/>
      <c r="M279" s="9"/>
      <c r="N279" s="40"/>
      <c r="O279" s="40"/>
      <c r="P279" s="40"/>
      <c r="Q279" s="41"/>
      <c r="R279" s="41"/>
      <c r="S279" s="41"/>
      <c r="T279" s="21"/>
      <c r="U279" s="21"/>
      <c r="V279" s="42"/>
    </row>
    <row r="280">
      <c r="C280" s="9"/>
      <c r="K280" s="40"/>
      <c r="L280" s="9"/>
      <c r="M280" s="9"/>
      <c r="N280" s="40"/>
      <c r="O280" s="40"/>
      <c r="P280" s="40"/>
      <c r="Q280" s="41"/>
      <c r="R280" s="41"/>
      <c r="S280" s="41"/>
      <c r="T280" s="21"/>
      <c r="U280" s="21"/>
      <c r="V280" s="42"/>
    </row>
    <row r="281">
      <c r="C281" s="9"/>
      <c r="K281" s="40"/>
      <c r="L281" s="9"/>
      <c r="M281" s="9"/>
      <c r="N281" s="40"/>
      <c r="O281" s="40"/>
      <c r="P281" s="40"/>
      <c r="Q281" s="41"/>
      <c r="R281" s="41"/>
      <c r="S281" s="41"/>
      <c r="T281" s="21"/>
      <c r="U281" s="21"/>
      <c r="V281" s="42"/>
    </row>
    <row r="282">
      <c r="C282" s="9"/>
      <c r="K282" s="40"/>
      <c r="L282" s="9"/>
      <c r="M282" s="9"/>
      <c r="N282" s="40"/>
      <c r="O282" s="40"/>
      <c r="P282" s="40"/>
      <c r="Q282" s="41"/>
      <c r="R282" s="41"/>
      <c r="S282" s="41"/>
      <c r="T282" s="21"/>
      <c r="U282" s="21"/>
      <c r="V282" s="42"/>
    </row>
    <row r="283">
      <c r="C283" s="9"/>
      <c r="K283" s="40"/>
      <c r="L283" s="9"/>
      <c r="M283" s="9"/>
      <c r="N283" s="40"/>
      <c r="O283" s="40"/>
      <c r="P283" s="40"/>
      <c r="Q283" s="41"/>
      <c r="R283" s="41"/>
      <c r="S283" s="41"/>
      <c r="T283" s="21"/>
      <c r="U283" s="21"/>
      <c r="V283" s="42"/>
    </row>
    <row r="284">
      <c r="C284" s="9"/>
      <c r="K284" s="40"/>
      <c r="L284" s="9"/>
      <c r="M284" s="9"/>
      <c r="N284" s="40"/>
      <c r="O284" s="40"/>
      <c r="P284" s="40"/>
      <c r="Q284" s="41"/>
      <c r="R284" s="41"/>
      <c r="S284" s="41"/>
      <c r="T284" s="21"/>
      <c r="U284" s="21"/>
      <c r="V284" s="42"/>
    </row>
    <row r="285">
      <c r="C285" s="9"/>
      <c r="K285" s="40"/>
      <c r="L285" s="9"/>
      <c r="M285" s="9"/>
      <c r="N285" s="40"/>
      <c r="O285" s="40"/>
      <c r="P285" s="40"/>
      <c r="Q285" s="41"/>
      <c r="R285" s="41"/>
      <c r="S285" s="41"/>
      <c r="T285" s="21"/>
      <c r="U285" s="21"/>
      <c r="V285" s="42"/>
    </row>
    <row r="286">
      <c r="C286" s="9"/>
      <c r="K286" s="40"/>
      <c r="L286" s="9"/>
      <c r="M286" s="9"/>
      <c r="N286" s="40"/>
      <c r="O286" s="40"/>
      <c r="P286" s="40"/>
      <c r="Q286" s="41"/>
      <c r="R286" s="41"/>
      <c r="S286" s="41"/>
      <c r="T286" s="21"/>
      <c r="U286" s="21"/>
      <c r="V286" s="42"/>
    </row>
    <row r="287">
      <c r="C287" s="9"/>
      <c r="K287" s="40"/>
      <c r="L287" s="9"/>
      <c r="M287" s="9"/>
      <c r="N287" s="40"/>
      <c r="O287" s="40"/>
      <c r="P287" s="40"/>
      <c r="Q287" s="41"/>
      <c r="R287" s="41"/>
      <c r="S287" s="41"/>
      <c r="T287" s="21"/>
      <c r="U287" s="21"/>
      <c r="V287" s="42"/>
    </row>
    <row r="288">
      <c r="C288" s="9"/>
      <c r="K288" s="40"/>
      <c r="L288" s="9"/>
      <c r="M288" s="9"/>
      <c r="N288" s="40"/>
      <c r="O288" s="40"/>
      <c r="P288" s="40"/>
      <c r="Q288" s="41"/>
      <c r="R288" s="41"/>
      <c r="S288" s="41"/>
      <c r="T288" s="21"/>
      <c r="U288" s="21"/>
      <c r="V288" s="42"/>
    </row>
    <row r="289">
      <c r="C289" s="9"/>
      <c r="K289" s="40"/>
      <c r="L289" s="9"/>
      <c r="M289" s="9"/>
      <c r="N289" s="40"/>
      <c r="O289" s="40"/>
      <c r="P289" s="40"/>
      <c r="Q289" s="41"/>
      <c r="R289" s="41"/>
      <c r="S289" s="41"/>
      <c r="T289" s="21"/>
      <c r="U289" s="21"/>
      <c r="V289" s="42"/>
    </row>
    <row r="290">
      <c r="C290" s="9"/>
      <c r="K290" s="40"/>
      <c r="L290" s="9"/>
      <c r="M290" s="9"/>
      <c r="N290" s="40"/>
      <c r="O290" s="40"/>
      <c r="P290" s="40"/>
      <c r="Q290" s="41"/>
      <c r="R290" s="41"/>
      <c r="S290" s="41"/>
      <c r="T290" s="21"/>
      <c r="U290" s="21"/>
      <c r="V290" s="42"/>
    </row>
    <row r="291">
      <c r="C291" s="9"/>
      <c r="K291" s="40"/>
      <c r="L291" s="9"/>
      <c r="M291" s="9"/>
      <c r="N291" s="40"/>
      <c r="O291" s="40"/>
      <c r="P291" s="40"/>
      <c r="Q291" s="41"/>
      <c r="R291" s="41"/>
      <c r="S291" s="41"/>
      <c r="T291" s="21"/>
      <c r="U291" s="21"/>
      <c r="V291" s="42"/>
    </row>
    <row r="292">
      <c r="C292" s="9"/>
      <c r="K292" s="40"/>
      <c r="L292" s="9"/>
      <c r="M292" s="9"/>
      <c r="N292" s="40"/>
      <c r="O292" s="40"/>
      <c r="P292" s="40"/>
      <c r="Q292" s="41"/>
      <c r="R292" s="41"/>
      <c r="S292" s="41"/>
      <c r="T292" s="21"/>
      <c r="U292" s="21"/>
      <c r="V292" s="42"/>
    </row>
    <row r="293">
      <c r="C293" s="9"/>
      <c r="K293" s="40"/>
      <c r="L293" s="9"/>
      <c r="M293" s="9"/>
      <c r="N293" s="40"/>
      <c r="O293" s="40"/>
      <c r="P293" s="40"/>
      <c r="Q293" s="41"/>
      <c r="R293" s="41"/>
      <c r="S293" s="41"/>
      <c r="T293" s="21"/>
      <c r="U293" s="21"/>
      <c r="V293" s="42"/>
    </row>
    <row r="294">
      <c r="C294" s="9"/>
      <c r="K294" s="40"/>
      <c r="L294" s="9"/>
      <c r="M294" s="9"/>
      <c r="N294" s="40"/>
      <c r="O294" s="40"/>
      <c r="P294" s="40"/>
      <c r="Q294" s="41"/>
      <c r="R294" s="41"/>
      <c r="S294" s="41"/>
      <c r="T294" s="21"/>
      <c r="U294" s="21"/>
      <c r="V294" s="42"/>
    </row>
    <row r="295">
      <c r="C295" s="9"/>
      <c r="K295" s="40"/>
      <c r="L295" s="9"/>
      <c r="M295" s="9"/>
      <c r="N295" s="40"/>
      <c r="O295" s="40"/>
      <c r="P295" s="40"/>
      <c r="Q295" s="41"/>
      <c r="R295" s="41"/>
      <c r="S295" s="41"/>
      <c r="T295" s="21"/>
      <c r="U295" s="21"/>
      <c r="V295" s="42"/>
    </row>
    <row r="296">
      <c r="C296" s="9"/>
      <c r="K296" s="40"/>
      <c r="L296" s="9"/>
      <c r="M296" s="9"/>
      <c r="N296" s="40"/>
      <c r="O296" s="40"/>
      <c r="P296" s="40"/>
      <c r="Q296" s="41"/>
      <c r="R296" s="41"/>
      <c r="S296" s="41"/>
      <c r="T296" s="21"/>
      <c r="U296" s="21"/>
      <c r="V296" s="42"/>
    </row>
    <row r="297">
      <c r="C297" s="9"/>
      <c r="K297" s="40"/>
      <c r="L297" s="9"/>
      <c r="M297" s="9"/>
      <c r="N297" s="40"/>
      <c r="O297" s="40"/>
      <c r="P297" s="40"/>
      <c r="Q297" s="41"/>
      <c r="R297" s="41"/>
      <c r="S297" s="41"/>
      <c r="T297" s="21"/>
      <c r="U297" s="21"/>
      <c r="V297" s="42"/>
    </row>
    <row r="298">
      <c r="C298" s="9"/>
      <c r="K298" s="40"/>
      <c r="L298" s="9"/>
      <c r="M298" s="9"/>
      <c r="N298" s="40"/>
      <c r="O298" s="40"/>
      <c r="P298" s="40"/>
      <c r="Q298" s="41"/>
      <c r="R298" s="41"/>
      <c r="S298" s="41"/>
      <c r="T298" s="21"/>
      <c r="U298" s="21"/>
      <c r="V298" s="42"/>
    </row>
    <row r="299">
      <c r="C299" s="9"/>
      <c r="K299" s="40"/>
      <c r="L299" s="9"/>
      <c r="M299" s="9"/>
      <c r="N299" s="40"/>
      <c r="O299" s="40"/>
      <c r="P299" s="40"/>
      <c r="Q299" s="41"/>
      <c r="R299" s="41"/>
      <c r="S299" s="41"/>
      <c r="T299" s="21"/>
      <c r="U299" s="21"/>
      <c r="V299" s="42"/>
    </row>
    <row r="300">
      <c r="C300" s="9"/>
      <c r="K300" s="40"/>
      <c r="L300" s="9"/>
      <c r="M300" s="9"/>
      <c r="N300" s="40"/>
      <c r="O300" s="40"/>
      <c r="P300" s="40"/>
      <c r="Q300" s="41"/>
      <c r="R300" s="41"/>
      <c r="S300" s="41"/>
      <c r="T300" s="21"/>
      <c r="U300" s="21"/>
      <c r="V300" s="42"/>
    </row>
    <row r="301">
      <c r="C301" s="9"/>
      <c r="K301" s="40"/>
      <c r="L301" s="9"/>
      <c r="M301" s="9"/>
      <c r="N301" s="40"/>
      <c r="O301" s="40"/>
      <c r="P301" s="40"/>
      <c r="Q301" s="41"/>
      <c r="R301" s="41"/>
      <c r="S301" s="41"/>
      <c r="T301" s="21"/>
      <c r="U301" s="21"/>
      <c r="V301" s="42"/>
    </row>
    <row r="302">
      <c r="C302" s="9"/>
      <c r="K302" s="40"/>
      <c r="L302" s="9"/>
      <c r="M302" s="9"/>
      <c r="N302" s="40"/>
      <c r="O302" s="40"/>
      <c r="P302" s="40"/>
      <c r="Q302" s="41"/>
      <c r="R302" s="41"/>
      <c r="S302" s="41"/>
      <c r="T302" s="21"/>
      <c r="U302" s="21"/>
      <c r="V302" s="42"/>
    </row>
    <row r="303">
      <c r="C303" s="9"/>
      <c r="K303" s="40"/>
      <c r="L303" s="9"/>
      <c r="M303" s="9"/>
      <c r="N303" s="40"/>
      <c r="O303" s="40"/>
      <c r="P303" s="40"/>
      <c r="Q303" s="41"/>
      <c r="R303" s="41"/>
      <c r="S303" s="41"/>
      <c r="T303" s="21"/>
      <c r="U303" s="21"/>
      <c r="V303" s="42"/>
    </row>
    <row r="304">
      <c r="C304" s="9"/>
      <c r="K304" s="40"/>
      <c r="L304" s="9"/>
      <c r="M304" s="9"/>
      <c r="N304" s="40"/>
      <c r="O304" s="40"/>
      <c r="P304" s="40"/>
      <c r="Q304" s="41"/>
      <c r="R304" s="41"/>
      <c r="S304" s="41"/>
      <c r="T304" s="21"/>
      <c r="U304" s="21"/>
      <c r="V304" s="42"/>
    </row>
    <row r="305">
      <c r="C305" s="9"/>
      <c r="K305" s="40"/>
      <c r="L305" s="9"/>
      <c r="M305" s="9"/>
      <c r="N305" s="40"/>
      <c r="O305" s="40"/>
      <c r="P305" s="40"/>
      <c r="Q305" s="41"/>
      <c r="R305" s="41"/>
      <c r="S305" s="41"/>
      <c r="T305" s="21"/>
      <c r="U305" s="21"/>
      <c r="V305" s="42"/>
    </row>
    <row r="306">
      <c r="C306" s="9"/>
      <c r="K306" s="40"/>
      <c r="L306" s="9"/>
      <c r="M306" s="9"/>
      <c r="N306" s="40"/>
      <c r="O306" s="40"/>
      <c r="P306" s="40"/>
      <c r="Q306" s="41"/>
      <c r="R306" s="41"/>
      <c r="S306" s="41"/>
      <c r="T306" s="21"/>
      <c r="U306" s="21"/>
      <c r="V306" s="42"/>
    </row>
    <row r="307">
      <c r="C307" s="9"/>
      <c r="K307" s="40"/>
      <c r="L307" s="9"/>
      <c r="M307" s="9"/>
      <c r="N307" s="40"/>
      <c r="O307" s="40"/>
      <c r="P307" s="40"/>
      <c r="Q307" s="41"/>
      <c r="R307" s="41"/>
      <c r="S307" s="41"/>
      <c r="T307" s="21"/>
      <c r="U307" s="21"/>
      <c r="V307" s="42"/>
    </row>
    <row r="308">
      <c r="C308" s="9"/>
      <c r="K308" s="40"/>
      <c r="L308" s="9"/>
      <c r="M308" s="9"/>
      <c r="N308" s="40"/>
      <c r="O308" s="40"/>
      <c r="P308" s="40"/>
      <c r="Q308" s="41"/>
      <c r="R308" s="41"/>
      <c r="S308" s="41"/>
      <c r="T308" s="21"/>
      <c r="U308" s="21"/>
      <c r="V308" s="42"/>
    </row>
    <row r="309">
      <c r="C309" s="9"/>
      <c r="K309" s="40"/>
      <c r="L309" s="9"/>
      <c r="M309" s="9"/>
      <c r="N309" s="40"/>
      <c r="O309" s="40"/>
      <c r="P309" s="40"/>
      <c r="Q309" s="41"/>
      <c r="R309" s="41"/>
      <c r="S309" s="41"/>
      <c r="T309" s="21"/>
      <c r="U309" s="21"/>
      <c r="V309" s="42"/>
    </row>
    <row r="310">
      <c r="C310" s="9"/>
      <c r="K310" s="40"/>
      <c r="L310" s="9"/>
      <c r="M310" s="9"/>
      <c r="N310" s="40"/>
      <c r="O310" s="40"/>
      <c r="P310" s="40"/>
      <c r="Q310" s="41"/>
      <c r="R310" s="41"/>
      <c r="S310" s="41"/>
      <c r="T310" s="21"/>
      <c r="U310" s="21"/>
      <c r="V310" s="42"/>
    </row>
    <row r="311">
      <c r="C311" s="9"/>
      <c r="K311" s="40"/>
      <c r="L311" s="9"/>
      <c r="M311" s="9"/>
      <c r="N311" s="40"/>
      <c r="O311" s="40"/>
      <c r="P311" s="40"/>
      <c r="Q311" s="41"/>
      <c r="R311" s="41"/>
      <c r="S311" s="41"/>
      <c r="T311" s="21"/>
      <c r="U311" s="21"/>
      <c r="V311" s="42"/>
    </row>
    <row r="312">
      <c r="C312" s="9"/>
      <c r="K312" s="40"/>
      <c r="L312" s="9"/>
      <c r="M312" s="9"/>
      <c r="N312" s="40"/>
      <c r="O312" s="40"/>
      <c r="P312" s="40"/>
      <c r="Q312" s="41"/>
      <c r="R312" s="41"/>
      <c r="S312" s="41"/>
      <c r="T312" s="21"/>
      <c r="U312" s="21"/>
      <c r="V312" s="42"/>
    </row>
    <row r="313">
      <c r="C313" s="9"/>
      <c r="K313" s="40"/>
      <c r="L313" s="9"/>
      <c r="M313" s="9"/>
      <c r="N313" s="40"/>
      <c r="O313" s="40"/>
      <c r="P313" s="40"/>
      <c r="Q313" s="41"/>
      <c r="R313" s="41"/>
      <c r="S313" s="41"/>
      <c r="T313" s="21"/>
      <c r="U313" s="21"/>
      <c r="V313" s="42"/>
    </row>
    <row r="314">
      <c r="C314" s="9"/>
      <c r="K314" s="40"/>
      <c r="L314" s="9"/>
      <c r="M314" s="9"/>
      <c r="N314" s="40"/>
      <c r="O314" s="40"/>
      <c r="P314" s="40"/>
      <c r="Q314" s="41"/>
      <c r="R314" s="41"/>
      <c r="S314" s="41"/>
      <c r="T314" s="21"/>
      <c r="U314" s="21"/>
      <c r="V314" s="42"/>
    </row>
    <row r="315">
      <c r="C315" s="9"/>
      <c r="K315" s="40"/>
      <c r="L315" s="9"/>
      <c r="M315" s="9"/>
      <c r="N315" s="40"/>
      <c r="O315" s="40"/>
      <c r="P315" s="40"/>
      <c r="Q315" s="41"/>
      <c r="R315" s="41"/>
      <c r="S315" s="41"/>
      <c r="T315" s="21"/>
      <c r="U315" s="21"/>
      <c r="V315" s="42"/>
    </row>
    <row r="316">
      <c r="C316" s="9"/>
      <c r="K316" s="40"/>
      <c r="L316" s="9"/>
      <c r="M316" s="9"/>
      <c r="N316" s="40"/>
      <c r="O316" s="40"/>
      <c r="P316" s="40"/>
      <c r="Q316" s="41"/>
      <c r="R316" s="41"/>
      <c r="S316" s="41"/>
      <c r="T316" s="21"/>
      <c r="U316" s="21"/>
      <c r="V316" s="42"/>
    </row>
    <row r="317">
      <c r="C317" s="9"/>
      <c r="K317" s="40"/>
      <c r="L317" s="9"/>
      <c r="M317" s="9"/>
      <c r="N317" s="40"/>
      <c r="O317" s="40"/>
      <c r="P317" s="40"/>
      <c r="Q317" s="41"/>
      <c r="R317" s="41"/>
      <c r="S317" s="41"/>
      <c r="T317" s="21"/>
      <c r="U317" s="21"/>
      <c r="V317" s="42"/>
    </row>
    <row r="318">
      <c r="C318" s="9"/>
      <c r="K318" s="40"/>
      <c r="L318" s="9"/>
      <c r="M318" s="9"/>
      <c r="N318" s="40"/>
      <c r="O318" s="40"/>
      <c r="P318" s="40"/>
      <c r="Q318" s="41"/>
      <c r="R318" s="41"/>
      <c r="S318" s="41"/>
      <c r="T318" s="21"/>
      <c r="U318" s="21"/>
      <c r="V318" s="42"/>
    </row>
    <row r="319">
      <c r="C319" s="9"/>
      <c r="K319" s="40"/>
      <c r="L319" s="9"/>
      <c r="M319" s="9"/>
      <c r="N319" s="40"/>
      <c r="O319" s="40"/>
      <c r="P319" s="40"/>
      <c r="Q319" s="41"/>
      <c r="R319" s="41"/>
      <c r="S319" s="41"/>
      <c r="T319" s="21"/>
      <c r="U319" s="21"/>
      <c r="V319" s="42"/>
    </row>
    <row r="320">
      <c r="C320" s="9"/>
      <c r="K320" s="40"/>
      <c r="L320" s="9"/>
      <c r="M320" s="9"/>
      <c r="N320" s="40"/>
      <c r="O320" s="40"/>
      <c r="P320" s="40"/>
      <c r="Q320" s="41"/>
      <c r="R320" s="41"/>
      <c r="S320" s="41"/>
      <c r="T320" s="21"/>
      <c r="U320" s="21"/>
      <c r="V320" s="42"/>
    </row>
    <row r="321">
      <c r="C321" s="9"/>
      <c r="K321" s="40"/>
      <c r="L321" s="9"/>
      <c r="M321" s="9"/>
      <c r="N321" s="40"/>
      <c r="O321" s="40"/>
      <c r="P321" s="40"/>
      <c r="Q321" s="41"/>
      <c r="R321" s="41"/>
      <c r="S321" s="41"/>
      <c r="T321" s="21"/>
      <c r="U321" s="21"/>
      <c r="V321" s="42"/>
    </row>
    <row r="322">
      <c r="C322" s="9"/>
      <c r="K322" s="40"/>
      <c r="L322" s="9"/>
      <c r="M322" s="9"/>
      <c r="N322" s="40"/>
      <c r="O322" s="40"/>
      <c r="P322" s="40"/>
      <c r="Q322" s="41"/>
      <c r="R322" s="41"/>
      <c r="S322" s="41"/>
      <c r="T322" s="21"/>
      <c r="U322" s="21"/>
      <c r="V322" s="42"/>
    </row>
    <row r="323">
      <c r="C323" s="9"/>
      <c r="K323" s="40"/>
      <c r="L323" s="9"/>
      <c r="M323" s="9"/>
      <c r="N323" s="40"/>
      <c r="O323" s="40"/>
      <c r="P323" s="40"/>
      <c r="Q323" s="41"/>
      <c r="R323" s="41"/>
      <c r="S323" s="41"/>
      <c r="T323" s="21"/>
      <c r="U323" s="21"/>
      <c r="V323" s="42"/>
    </row>
    <row r="324">
      <c r="C324" s="9"/>
      <c r="K324" s="40"/>
      <c r="L324" s="9"/>
      <c r="M324" s="9"/>
      <c r="N324" s="40"/>
      <c r="O324" s="40"/>
      <c r="P324" s="40"/>
      <c r="Q324" s="41"/>
      <c r="R324" s="41"/>
      <c r="S324" s="41"/>
      <c r="T324" s="21"/>
      <c r="U324" s="21"/>
      <c r="V324" s="42"/>
    </row>
    <row r="325">
      <c r="C325" s="9"/>
      <c r="K325" s="40"/>
      <c r="L325" s="9"/>
      <c r="M325" s="9"/>
      <c r="N325" s="40"/>
      <c r="O325" s="40"/>
      <c r="P325" s="40"/>
      <c r="Q325" s="41"/>
      <c r="R325" s="41"/>
      <c r="S325" s="41"/>
      <c r="T325" s="21"/>
      <c r="U325" s="21"/>
      <c r="V325" s="42"/>
    </row>
    <row r="326">
      <c r="C326" s="9"/>
      <c r="K326" s="40"/>
      <c r="L326" s="9"/>
      <c r="M326" s="9"/>
      <c r="N326" s="40"/>
      <c r="O326" s="40"/>
      <c r="P326" s="40"/>
      <c r="Q326" s="41"/>
      <c r="R326" s="41"/>
      <c r="S326" s="41"/>
      <c r="T326" s="21"/>
      <c r="U326" s="21"/>
      <c r="V326" s="42"/>
    </row>
    <row r="327">
      <c r="C327" s="9"/>
      <c r="K327" s="40"/>
      <c r="L327" s="9"/>
      <c r="M327" s="9"/>
      <c r="N327" s="40"/>
      <c r="O327" s="40"/>
      <c r="P327" s="40"/>
      <c r="Q327" s="41"/>
      <c r="R327" s="41"/>
      <c r="S327" s="41"/>
      <c r="T327" s="21"/>
      <c r="U327" s="21"/>
      <c r="V327" s="42"/>
    </row>
    <row r="328">
      <c r="C328" s="9"/>
      <c r="K328" s="40"/>
      <c r="L328" s="9"/>
      <c r="M328" s="9"/>
      <c r="N328" s="40"/>
      <c r="O328" s="40"/>
      <c r="P328" s="40"/>
      <c r="Q328" s="41"/>
      <c r="R328" s="41"/>
      <c r="S328" s="41"/>
      <c r="T328" s="21"/>
      <c r="U328" s="21"/>
      <c r="V328" s="42"/>
    </row>
    <row r="329">
      <c r="C329" s="9"/>
      <c r="K329" s="40"/>
      <c r="L329" s="9"/>
      <c r="M329" s="9"/>
      <c r="N329" s="40"/>
      <c r="O329" s="40"/>
      <c r="P329" s="40"/>
      <c r="Q329" s="41"/>
      <c r="R329" s="41"/>
      <c r="S329" s="41"/>
      <c r="T329" s="21"/>
      <c r="U329" s="21"/>
      <c r="V329" s="42"/>
    </row>
    <row r="330">
      <c r="C330" s="9"/>
      <c r="K330" s="40"/>
      <c r="L330" s="9"/>
      <c r="M330" s="9"/>
      <c r="N330" s="40"/>
      <c r="O330" s="40"/>
      <c r="P330" s="40"/>
      <c r="Q330" s="41"/>
      <c r="R330" s="41"/>
      <c r="S330" s="41"/>
      <c r="T330" s="21"/>
      <c r="U330" s="21"/>
      <c r="V330" s="42"/>
    </row>
    <row r="331">
      <c r="C331" s="9"/>
      <c r="K331" s="40"/>
      <c r="L331" s="9"/>
      <c r="M331" s="9"/>
      <c r="N331" s="40"/>
      <c r="O331" s="40"/>
      <c r="P331" s="40"/>
      <c r="Q331" s="41"/>
      <c r="R331" s="41"/>
      <c r="S331" s="41"/>
      <c r="T331" s="21"/>
      <c r="U331" s="21"/>
      <c r="V331" s="42"/>
    </row>
    <row r="332">
      <c r="C332" s="9"/>
      <c r="K332" s="40"/>
      <c r="L332" s="9"/>
      <c r="M332" s="9"/>
      <c r="N332" s="40"/>
      <c r="O332" s="40"/>
      <c r="P332" s="40"/>
      <c r="Q332" s="41"/>
      <c r="R332" s="41"/>
      <c r="S332" s="41"/>
      <c r="T332" s="21"/>
      <c r="U332" s="21"/>
      <c r="V332" s="42"/>
    </row>
    <row r="333">
      <c r="C333" s="9"/>
      <c r="K333" s="40"/>
      <c r="L333" s="9"/>
      <c r="M333" s="9"/>
      <c r="N333" s="40"/>
      <c r="O333" s="40"/>
      <c r="P333" s="40"/>
      <c r="Q333" s="41"/>
      <c r="R333" s="41"/>
      <c r="S333" s="41"/>
      <c r="T333" s="21"/>
      <c r="U333" s="21"/>
      <c r="V333" s="42"/>
    </row>
    <row r="334">
      <c r="C334" s="9"/>
      <c r="K334" s="40"/>
      <c r="L334" s="9"/>
      <c r="M334" s="9"/>
      <c r="N334" s="40"/>
      <c r="O334" s="40"/>
      <c r="P334" s="40"/>
      <c r="Q334" s="41"/>
      <c r="R334" s="41"/>
      <c r="S334" s="41"/>
      <c r="T334" s="21"/>
      <c r="U334" s="21"/>
      <c r="V334" s="42"/>
    </row>
    <row r="335">
      <c r="C335" s="9"/>
      <c r="K335" s="40"/>
      <c r="L335" s="9"/>
      <c r="M335" s="9"/>
      <c r="N335" s="40"/>
      <c r="O335" s="40"/>
      <c r="P335" s="40"/>
      <c r="Q335" s="41"/>
      <c r="R335" s="41"/>
      <c r="S335" s="41"/>
      <c r="T335" s="21"/>
      <c r="U335" s="21"/>
      <c r="V335" s="42"/>
    </row>
    <row r="336">
      <c r="C336" s="9"/>
      <c r="K336" s="40"/>
      <c r="L336" s="9"/>
      <c r="M336" s="9"/>
      <c r="N336" s="40"/>
      <c r="O336" s="40"/>
      <c r="P336" s="40"/>
      <c r="Q336" s="41"/>
      <c r="R336" s="41"/>
      <c r="S336" s="41"/>
      <c r="T336" s="21"/>
      <c r="U336" s="21"/>
      <c r="V336" s="42"/>
    </row>
    <row r="337">
      <c r="C337" s="9"/>
      <c r="K337" s="40"/>
      <c r="L337" s="9"/>
      <c r="M337" s="9"/>
      <c r="N337" s="40"/>
      <c r="O337" s="40"/>
      <c r="P337" s="40"/>
      <c r="Q337" s="41"/>
      <c r="R337" s="41"/>
      <c r="S337" s="41"/>
      <c r="T337" s="21"/>
      <c r="U337" s="21"/>
      <c r="V337" s="42"/>
    </row>
    <row r="338">
      <c r="C338" s="9"/>
      <c r="K338" s="40"/>
      <c r="L338" s="9"/>
      <c r="M338" s="9"/>
      <c r="N338" s="40"/>
      <c r="O338" s="40"/>
      <c r="P338" s="40"/>
      <c r="Q338" s="41"/>
      <c r="R338" s="41"/>
      <c r="S338" s="41"/>
      <c r="T338" s="21"/>
      <c r="U338" s="21"/>
      <c r="V338" s="42"/>
    </row>
    <row r="339">
      <c r="C339" s="9"/>
      <c r="K339" s="40"/>
      <c r="L339" s="9"/>
      <c r="M339" s="9"/>
      <c r="N339" s="40"/>
      <c r="O339" s="40"/>
      <c r="P339" s="40"/>
      <c r="Q339" s="41"/>
      <c r="R339" s="41"/>
      <c r="S339" s="41"/>
      <c r="T339" s="21"/>
      <c r="U339" s="21"/>
      <c r="V339" s="42"/>
    </row>
    <row r="340">
      <c r="C340" s="9"/>
      <c r="K340" s="40"/>
      <c r="L340" s="9"/>
      <c r="M340" s="9"/>
      <c r="N340" s="40"/>
      <c r="O340" s="40"/>
      <c r="P340" s="40"/>
      <c r="Q340" s="41"/>
      <c r="R340" s="41"/>
      <c r="S340" s="41"/>
      <c r="T340" s="21"/>
      <c r="U340" s="21"/>
      <c r="V340" s="42"/>
    </row>
    <row r="341">
      <c r="C341" s="9"/>
      <c r="K341" s="40"/>
      <c r="L341" s="9"/>
      <c r="M341" s="9"/>
      <c r="N341" s="40"/>
      <c r="O341" s="40"/>
      <c r="P341" s="40"/>
      <c r="Q341" s="41"/>
      <c r="R341" s="41"/>
      <c r="S341" s="41"/>
      <c r="T341" s="21"/>
      <c r="U341" s="21"/>
      <c r="V341" s="42"/>
    </row>
    <row r="342">
      <c r="C342" s="9"/>
      <c r="K342" s="40"/>
      <c r="L342" s="9"/>
      <c r="M342" s="9"/>
      <c r="N342" s="40"/>
      <c r="O342" s="40"/>
      <c r="P342" s="40"/>
      <c r="Q342" s="41"/>
      <c r="R342" s="41"/>
      <c r="S342" s="41"/>
      <c r="T342" s="21"/>
      <c r="U342" s="21"/>
      <c r="V342" s="42"/>
    </row>
    <row r="343">
      <c r="C343" s="9"/>
      <c r="K343" s="40"/>
      <c r="L343" s="9"/>
      <c r="M343" s="9"/>
      <c r="N343" s="40"/>
      <c r="O343" s="40"/>
      <c r="P343" s="40"/>
      <c r="Q343" s="41"/>
      <c r="R343" s="41"/>
      <c r="S343" s="41"/>
      <c r="T343" s="21"/>
      <c r="U343" s="21"/>
      <c r="V343" s="42"/>
    </row>
    <row r="344">
      <c r="C344" s="9"/>
      <c r="K344" s="40"/>
      <c r="L344" s="9"/>
      <c r="M344" s="9"/>
      <c r="N344" s="40"/>
      <c r="O344" s="40"/>
      <c r="P344" s="40"/>
      <c r="Q344" s="41"/>
      <c r="R344" s="41"/>
      <c r="S344" s="41"/>
      <c r="T344" s="21"/>
      <c r="U344" s="21"/>
      <c r="V344" s="42"/>
    </row>
    <row r="345">
      <c r="C345" s="9"/>
      <c r="K345" s="40"/>
      <c r="L345" s="9"/>
      <c r="M345" s="9"/>
      <c r="N345" s="40"/>
      <c r="O345" s="40"/>
      <c r="P345" s="40"/>
      <c r="Q345" s="41"/>
      <c r="R345" s="41"/>
      <c r="S345" s="41"/>
      <c r="T345" s="21"/>
      <c r="U345" s="21"/>
      <c r="V345" s="42"/>
    </row>
    <row r="346">
      <c r="C346" s="9"/>
      <c r="K346" s="40"/>
      <c r="L346" s="9"/>
      <c r="M346" s="9"/>
      <c r="N346" s="40"/>
      <c r="O346" s="40"/>
      <c r="P346" s="40"/>
      <c r="Q346" s="41"/>
      <c r="R346" s="41"/>
      <c r="S346" s="41"/>
      <c r="T346" s="21"/>
      <c r="U346" s="21"/>
      <c r="V346" s="42"/>
    </row>
    <row r="347">
      <c r="C347" s="9"/>
      <c r="K347" s="40"/>
      <c r="L347" s="9"/>
      <c r="M347" s="9"/>
      <c r="N347" s="40"/>
      <c r="O347" s="40"/>
      <c r="P347" s="40"/>
      <c r="Q347" s="41"/>
      <c r="R347" s="41"/>
      <c r="S347" s="41"/>
      <c r="T347" s="21"/>
      <c r="U347" s="21"/>
      <c r="V347" s="42"/>
    </row>
    <row r="348">
      <c r="C348" s="9"/>
      <c r="K348" s="40"/>
      <c r="L348" s="9"/>
      <c r="M348" s="9"/>
      <c r="N348" s="40"/>
      <c r="O348" s="40"/>
      <c r="P348" s="40"/>
      <c r="Q348" s="41"/>
      <c r="R348" s="41"/>
      <c r="S348" s="41"/>
      <c r="T348" s="21"/>
      <c r="U348" s="21"/>
      <c r="V348" s="42"/>
    </row>
    <row r="349">
      <c r="C349" s="9"/>
      <c r="K349" s="40"/>
      <c r="L349" s="9"/>
      <c r="M349" s="9"/>
      <c r="N349" s="40"/>
      <c r="O349" s="40"/>
      <c r="P349" s="40"/>
      <c r="Q349" s="41"/>
      <c r="R349" s="41"/>
      <c r="S349" s="41"/>
      <c r="T349" s="21"/>
      <c r="U349" s="21"/>
      <c r="V349" s="42"/>
    </row>
    <row r="350">
      <c r="C350" s="9"/>
      <c r="K350" s="40"/>
      <c r="L350" s="9"/>
      <c r="M350" s="9"/>
      <c r="N350" s="40"/>
      <c r="O350" s="40"/>
      <c r="P350" s="40"/>
      <c r="Q350" s="41"/>
      <c r="R350" s="41"/>
      <c r="S350" s="41"/>
      <c r="T350" s="21"/>
      <c r="U350" s="21"/>
      <c r="V350" s="42"/>
    </row>
    <row r="351">
      <c r="C351" s="9"/>
      <c r="K351" s="40"/>
      <c r="L351" s="9"/>
      <c r="M351" s="9"/>
      <c r="N351" s="40"/>
      <c r="O351" s="40"/>
      <c r="P351" s="40"/>
      <c r="Q351" s="41"/>
      <c r="R351" s="41"/>
      <c r="S351" s="41"/>
      <c r="T351" s="21"/>
      <c r="U351" s="21"/>
      <c r="V351" s="42"/>
    </row>
    <row r="352">
      <c r="C352" s="9"/>
      <c r="K352" s="40"/>
      <c r="L352" s="9"/>
      <c r="M352" s="9"/>
      <c r="N352" s="40"/>
      <c r="O352" s="40"/>
      <c r="P352" s="40"/>
      <c r="Q352" s="41"/>
      <c r="R352" s="41"/>
      <c r="S352" s="41"/>
      <c r="T352" s="21"/>
      <c r="U352" s="21"/>
      <c r="V352" s="42"/>
    </row>
    <row r="353">
      <c r="C353" s="9"/>
      <c r="K353" s="40"/>
      <c r="L353" s="9"/>
      <c r="M353" s="9"/>
      <c r="N353" s="40"/>
      <c r="O353" s="40"/>
      <c r="P353" s="40"/>
      <c r="Q353" s="41"/>
      <c r="R353" s="41"/>
      <c r="S353" s="41"/>
      <c r="T353" s="21"/>
      <c r="U353" s="21"/>
      <c r="V353" s="42"/>
    </row>
    <row r="354">
      <c r="C354" s="9"/>
      <c r="K354" s="40"/>
      <c r="L354" s="9"/>
      <c r="M354" s="9"/>
      <c r="N354" s="40"/>
      <c r="O354" s="40"/>
      <c r="P354" s="40"/>
      <c r="Q354" s="41"/>
      <c r="R354" s="41"/>
      <c r="S354" s="41"/>
      <c r="T354" s="21"/>
      <c r="U354" s="21"/>
      <c r="V354" s="42"/>
    </row>
    <row r="355">
      <c r="C355" s="9"/>
      <c r="K355" s="40"/>
      <c r="L355" s="9"/>
      <c r="M355" s="9"/>
      <c r="N355" s="40"/>
      <c r="O355" s="40"/>
      <c r="P355" s="40"/>
      <c r="Q355" s="41"/>
      <c r="R355" s="41"/>
      <c r="S355" s="41"/>
      <c r="T355" s="21"/>
      <c r="U355" s="21"/>
      <c r="V355" s="42"/>
    </row>
    <row r="356">
      <c r="C356" s="9"/>
      <c r="K356" s="40"/>
      <c r="L356" s="9"/>
      <c r="M356" s="9"/>
      <c r="N356" s="40"/>
      <c r="O356" s="40"/>
      <c r="P356" s="40"/>
      <c r="Q356" s="41"/>
      <c r="R356" s="41"/>
      <c r="S356" s="41"/>
      <c r="T356" s="21"/>
      <c r="U356" s="21"/>
      <c r="V356" s="42"/>
    </row>
    <row r="357">
      <c r="C357" s="9"/>
      <c r="K357" s="40"/>
      <c r="L357" s="9"/>
      <c r="M357" s="9"/>
      <c r="N357" s="40"/>
      <c r="O357" s="40"/>
      <c r="P357" s="40"/>
      <c r="Q357" s="41"/>
      <c r="R357" s="41"/>
      <c r="S357" s="41"/>
      <c r="T357" s="21"/>
      <c r="U357" s="21"/>
      <c r="V357" s="42"/>
    </row>
    <row r="358">
      <c r="C358" s="9"/>
      <c r="K358" s="40"/>
      <c r="L358" s="9"/>
      <c r="M358" s="9"/>
      <c r="N358" s="40"/>
      <c r="O358" s="40"/>
      <c r="P358" s="40"/>
      <c r="Q358" s="41"/>
      <c r="R358" s="41"/>
      <c r="S358" s="41"/>
      <c r="T358" s="21"/>
      <c r="U358" s="21"/>
      <c r="V358" s="42"/>
    </row>
    <row r="359">
      <c r="C359" s="9"/>
      <c r="K359" s="40"/>
      <c r="L359" s="9"/>
      <c r="M359" s="9"/>
      <c r="N359" s="40"/>
      <c r="O359" s="40"/>
      <c r="P359" s="40"/>
      <c r="Q359" s="41"/>
      <c r="R359" s="41"/>
      <c r="S359" s="41"/>
      <c r="T359" s="21"/>
      <c r="U359" s="21"/>
      <c r="V359" s="42"/>
    </row>
    <row r="360">
      <c r="C360" s="9"/>
      <c r="K360" s="40"/>
      <c r="L360" s="9"/>
      <c r="M360" s="9"/>
      <c r="N360" s="40"/>
      <c r="O360" s="40"/>
      <c r="P360" s="40"/>
      <c r="Q360" s="41"/>
      <c r="R360" s="41"/>
      <c r="S360" s="41"/>
      <c r="T360" s="21"/>
      <c r="U360" s="21"/>
      <c r="V360" s="42"/>
    </row>
    <row r="361">
      <c r="C361" s="9"/>
      <c r="K361" s="40"/>
      <c r="L361" s="9"/>
      <c r="M361" s="9"/>
      <c r="N361" s="40"/>
      <c r="O361" s="40"/>
      <c r="P361" s="40"/>
      <c r="Q361" s="41"/>
      <c r="R361" s="41"/>
      <c r="S361" s="41"/>
      <c r="T361" s="21"/>
      <c r="U361" s="21"/>
      <c r="V361" s="42"/>
    </row>
    <row r="362">
      <c r="C362" s="9"/>
      <c r="K362" s="40"/>
      <c r="L362" s="9"/>
      <c r="M362" s="9"/>
      <c r="N362" s="40"/>
      <c r="O362" s="40"/>
      <c r="P362" s="40"/>
      <c r="Q362" s="41"/>
      <c r="R362" s="41"/>
      <c r="S362" s="41"/>
      <c r="T362" s="21"/>
      <c r="U362" s="21"/>
      <c r="V362" s="42"/>
    </row>
    <row r="363">
      <c r="C363" s="9"/>
      <c r="K363" s="40"/>
      <c r="L363" s="9"/>
      <c r="M363" s="9"/>
      <c r="N363" s="40"/>
      <c r="O363" s="40"/>
      <c r="P363" s="40"/>
      <c r="Q363" s="41"/>
      <c r="R363" s="41"/>
      <c r="S363" s="41"/>
      <c r="T363" s="21"/>
      <c r="U363" s="21"/>
      <c r="V363" s="42"/>
    </row>
    <row r="364">
      <c r="C364" s="9"/>
      <c r="K364" s="40"/>
      <c r="L364" s="9"/>
      <c r="M364" s="9"/>
      <c r="N364" s="40"/>
      <c r="O364" s="40"/>
      <c r="P364" s="40"/>
      <c r="Q364" s="41"/>
      <c r="R364" s="41"/>
      <c r="S364" s="41"/>
      <c r="T364" s="21"/>
      <c r="U364" s="21"/>
      <c r="V364" s="42"/>
    </row>
    <row r="365">
      <c r="C365" s="9"/>
      <c r="K365" s="40"/>
      <c r="L365" s="9"/>
      <c r="M365" s="9"/>
      <c r="N365" s="40"/>
      <c r="O365" s="40"/>
      <c r="P365" s="40"/>
      <c r="Q365" s="41"/>
      <c r="R365" s="41"/>
      <c r="S365" s="41"/>
      <c r="T365" s="21"/>
      <c r="U365" s="21"/>
      <c r="V365" s="42"/>
    </row>
    <row r="366">
      <c r="C366" s="9"/>
      <c r="K366" s="40"/>
      <c r="L366" s="9"/>
      <c r="M366" s="9"/>
      <c r="N366" s="40"/>
      <c r="O366" s="40"/>
      <c r="P366" s="40"/>
      <c r="Q366" s="41"/>
      <c r="R366" s="41"/>
      <c r="S366" s="41"/>
      <c r="T366" s="21"/>
      <c r="U366" s="21"/>
      <c r="V366" s="42"/>
    </row>
    <row r="367">
      <c r="C367" s="9"/>
      <c r="K367" s="40"/>
      <c r="L367" s="9"/>
      <c r="M367" s="9"/>
      <c r="N367" s="40"/>
      <c r="O367" s="40"/>
      <c r="P367" s="40"/>
      <c r="Q367" s="41"/>
      <c r="R367" s="41"/>
      <c r="S367" s="41"/>
      <c r="T367" s="21"/>
      <c r="U367" s="21"/>
      <c r="V367" s="42"/>
    </row>
    <row r="368">
      <c r="C368" s="9"/>
      <c r="K368" s="40"/>
      <c r="L368" s="9"/>
      <c r="M368" s="9"/>
      <c r="N368" s="40"/>
      <c r="O368" s="40"/>
      <c r="P368" s="40"/>
      <c r="Q368" s="41"/>
      <c r="R368" s="41"/>
      <c r="S368" s="41"/>
      <c r="T368" s="21"/>
      <c r="U368" s="21"/>
      <c r="V368" s="42"/>
    </row>
    <row r="369">
      <c r="C369" s="9"/>
      <c r="K369" s="40"/>
      <c r="L369" s="9"/>
      <c r="M369" s="9"/>
      <c r="N369" s="40"/>
      <c r="O369" s="40"/>
      <c r="P369" s="40"/>
      <c r="Q369" s="41"/>
      <c r="R369" s="41"/>
      <c r="S369" s="41"/>
      <c r="T369" s="21"/>
      <c r="U369" s="21"/>
      <c r="V369" s="42"/>
    </row>
    <row r="370">
      <c r="C370" s="9"/>
      <c r="K370" s="40"/>
      <c r="L370" s="9"/>
      <c r="M370" s="9"/>
      <c r="N370" s="40"/>
      <c r="O370" s="40"/>
      <c r="P370" s="40"/>
      <c r="Q370" s="41"/>
      <c r="R370" s="41"/>
      <c r="S370" s="41"/>
      <c r="T370" s="21"/>
      <c r="U370" s="21"/>
      <c r="V370" s="42"/>
    </row>
    <row r="371">
      <c r="C371" s="9"/>
      <c r="K371" s="40"/>
      <c r="L371" s="9"/>
      <c r="M371" s="9"/>
      <c r="N371" s="40"/>
      <c r="O371" s="40"/>
      <c r="P371" s="40"/>
      <c r="Q371" s="41"/>
      <c r="R371" s="41"/>
      <c r="S371" s="41"/>
      <c r="T371" s="21"/>
      <c r="U371" s="21"/>
      <c r="V371" s="42"/>
    </row>
    <row r="372">
      <c r="C372" s="9"/>
      <c r="K372" s="40"/>
      <c r="L372" s="9"/>
      <c r="M372" s="9"/>
      <c r="N372" s="40"/>
      <c r="O372" s="40"/>
      <c r="P372" s="40"/>
      <c r="Q372" s="41"/>
      <c r="R372" s="41"/>
      <c r="S372" s="41"/>
      <c r="T372" s="21"/>
      <c r="U372" s="21"/>
      <c r="V372" s="42"/>
    </row>
    <row r="373">
      <c r="C373" s="9"/>
      <c r="K373" s="40"/>
      <c r="L373" s="9"/>
      <c r="M373" s="9"/>
      <c r="N373" s="40"/>
      <c r="O373" s="40"/>
      <c r="P373" s="40"/>
      <c r="Q373" s="41"/>
      <c r="R373" s="41"/>
      <c r="S373" s="41"/>
      <c r="T373" s="21"/>
      <c r="U373" s="21"/>
      <c r="V373" s="42"/>
    </row>
    <row r="374">
      <c r="C374" s="9"/>
      <c r="K374" s="40"/>
      <c r="L374" s="9"/>
      <c r="M374" s="9"/>
      <c r="N374" s="40"/>
      <c r="O374" s="40"/>
      <c r="P374" s="40"/>
      <c r="Q374" s="41"/>
      <c r="R374" s="41"/>
      <c r="S374" s="41"/>
      <c r="T374" s="21"/>
      <c r="U374" s="21"/>
      <c r="V374" s="42"/>
    </row>
    <row r="375">
      <c r="C375" s="9"/>
      <c r="K375" s="40"/>
      <c r="L375" s="9"/>
      <c r="M375" s="9"/>
      <c r="N375" s="40"/>
      <c r="O375" s="40"/>
      <c r="P375" s="40"/>
      <c r="Q375" s="41"/>
      <c r="R375" s="41"/>
      <c r="S375" s="41"/>
      <c r="T375" s="21"/>
      <c r="U375" s="21"/>
      <c r="V375" s="42"/>
    </row>
    <row r="376">
      <c r="C376" s="9"/>
      <c r="K376" s="40"/>
      <c r="L376" s="9"/>
      <c r="M376" s="9"/>
      <c r="N376" s="40"/>
      <c r="O376" s="40"/>
      <c r="P376" s="40"/>
      <c r="Q376" s="41"/>
      <c r="R376" s="41"/>
      <c r="S376" s="41"/>
      <c r="T376" s="21"/>
      <c r="U376" s="21"/>
      <c r="V376" s="42"/>
    </row>
    <row r="377">
      <c r="C377" s="9"/>
      <c r="K377" s="40"/>
      <c r="L377" s="9"/>
      <c r="M377" s="9"/>
      <c r="N377" s="40"/>
      <c r="O377" s="40"/>
      <c r="P377" s="40"/>
      <c r="Q377" s="41"/>
      <c r="R377" s="41"/>
      <c r="S377" s="41"/>
      <c r="T377" s="21"/>
      <c r="U377" s="21"/>
      <c r="V377" s="42"/>
    </row>
    <row r="378">
      <c r="C378" s="9"/>
      <c r="K378" s="40"/>
      <c r="L378" s="9"/>
      <c r="M378" s="9"/>
      <c r="N378" s="40"/>
      <c r="O378" s="40"/>
      <c r="P378" s="40"/>
      <c r="Q378" s="41"/>
      <c r="R378" s="41"/>
      <c r="S378" s="41"/>
      <c r="T378" s="21"/>
      <c r="U378" s="21"/>
      <c r="V378" s="42"/>
    </row>
    <row r="379">
      <c r="C379" s="9"/>
      <c r="K379" s="40"/>
      <c r="L379" s="9"/>
      <c r="M379" s="9"/>
      <c r="N379" s="40"/>
      <c r="O379" s="40"/>
      <c r="P379" s="40"/>
      <c r="Q379" s="41"/>
      <c r="R379" s="41"/>
      <c r="S379" s="41"/>
      <c r="T379" s="21"/>
      <c r="U379" s="21"/>
      <c r="V379" s="42"/>
    </row>
    <row r="380">
      <c r="C380" s="9"/>
      <c r="K380" s="40"/>
      <c r="L380" s="9"/>
      <c r="M380" s="9"/>
      <c r="N380" s="40"/>
      <c r="O380" s="40"/>
      <c r="P380" s="40"/>
      <c r="Q380" s="41"/>
      <c r="R380" s="41"/>
      <c r="S380" s="41"/>
      <c r="T380" s="21"/>
      <c r="U380" s="21"/>
      <c r="V380" s="42"/>
    </row>
    <row r="381">
      <c r="C381" s="9"/>
      <c r="K381" s="40"/>
      <c r="L381" s="9"/>
      <c r="M381" s="9"/>
      <c r="N381" s="40"/>
      <c r="O381" s="40"/>
      <c r="P381" s="40"/>
      <c r="Q381" s="41"/>
      <c r="R381" s="41"/>
      <c r="S381" s="41"/>
      <c r="T381" s="21"/>
      <c r="U381" s="21"/>
      <c r="V381" s="42"/>
    </row>
    <row r="382">
      <c r="C382" s="9"/>
      <c r="K382" s="40"/>
      <c r="L382" s="9"/>
      <c r="M382" s="9"/>
      <c r="N382" s="40"/>
      <c r="O382" s="40"/>
      <c r="P382" s="40"/>
      <c r="Q382" s="41"/>
      <c r="R382" s="41"/>
      <c r="S382" s="41"/>
      <c r="T382" s="21"/>
      <c r="U382" s="21"/>
      <c r="V382" s="42"/>
    </row>
    <row r="383">
      <c r="C383" s="9"/>
      <c r="K383" s="40"/>
      <c r="L383" s="9"/>
      <c r="M383" s="9"/>
      <c r="N383" s="40"/>
      <c r="O383" s="40"/>
      <c r="P383" s="40"/>
      <c r="Q383" s="41"/>
      <c r="R383" s="41"/>
      <c r="S383" s="41"/>
      <c r="T383" s="21"/>
      <c r="U383" s="21"/>
      <c r="V383" s="42"/>
    </row>
    <row r="384">
      <c r="C384" s="9"/>
      <c r="K384" s="40"/>
      <c r="L384" s="9"/>
      <c r="M384" s="9"/>
      <c r="N384" s="40"/>
      <c r="O384" s="40"/>
      <c r="P384" s="40"/>
      <c r="Q384" s="41"/>
      <c r="R384" s="41"/>
      <c r="S384" s="41"/>
      <c r="T384" s="21"/>
      <c r="U384" s="21"/>
      <c r="V384" s="42"/>
    </row>
    <row r="385">
      <c r="C385" s="9"/>
      <c r="K385" s="40"/>
      <c r="L385" s="9"/>
      <c r="M385" s="9"/>
      <c r="N385" s="40"/>
      <c r="O385" s="40"/>
      <c r="P385" s="40"/>
      <c r="Q385" s="41"/>
      <c r="R385" s="41"/>
      <c r="S385" s="41"/>
      <c r="T385" s="21"/>
      <c r="U385" s="21"/>
      <c r="V385" s="42"/>
    </row>
    <row r="386">
      <c r="C386" s="9"/>
      <c r="K386" s="40"/>
      <c r="L386" s="9"/>
      <c r="M386" s="9"/>
      <c r="N386" s="40"/>
      <c r="O386" s="40"/>
      <c r="P386" s="40"/>
      <c r="Q386" s="41"/>
      <c r="R386" s="41"/>
      <c r="S386" s="41"/>
      <c r="T386" s="21"/>
      <c r="U386" s="21"/>
      <c r="V386" s="42"/>
    </row>
    <row r="387">
      <c r="C387" s="9"/>
      <c r="K387" s="40"/>
      <c r="L387" s="9"/>
      <c r="M387" s="9"/>
      <c r="N387" s="40"/>
      <c r="O387" s="40"/>
      <c r="P387" s="40"/>
      <c r="Q387" s="41"/>
      <c r="R387" s="41"/>
      <c r="S387" s="41"/>
      <c r="T387" s="21"/>
      <c r="U387" s="21"/>
      <c r="V387" s="42"/>
    </row>
    <row r="388">
      <c r="C388" s="9"/>
      <c r="K388" s="40"/>
      <c r="L388" s="9"/>
      <c r="M388" s="9"/>
      <c r="N388" s="40"/>
      <c r="O388" s="40"/>
      <c r="P388" s="40"/>
      <c r="Q388" s="41"/>
      <c r="R388" s="41"/>
      <c r="S388" s="41"/>
      <c r="T388" s="21"/>
      <c r="U388" s="21"/>
      <c r="V388" s="42"/>
    </row>
    <row r="389">
      <c r="C389" s="9"/>
      <c r="K389" s="40"/>
      <c r="L389" s="9"/>
      <c r="M389" s="9"/>
      <c r="N389" s="40"/>
      <c r="O389" s="40"/>
      <c r="P389" s="40"/>
      <c r="Q389" s="41"/>
      <c r="R389" s="41"/>
      <c r="S389" s="41"/>
      <c r="T389" s="21"/>
      <c r="U389" s="21"/>
      <c r="V389" s="42"/>
    </row>
    <row r="390">
      <c r="C390" s="9"/>
      <c r="K390" s="40"/>
      <c r="L390" s="9"/>
      <c r="M390" s="9"/>
      <c r="N390" s="40"/>
      <c r="O390" s="40"/>
      <c r="P390" s="40"/>
      <c r="Q390" s="41"/>
      <c r="R390" s="41"/>
      <c r="S390" s="41"/>
      <c r="T390" s="21"/>
      <c r="U390" s="21"/>
      <c r="V390" s="42"/>
    </row>
    <row r="391">
      <c r="C391" s="9"/>
      <c r="K391" s="40"/>
      <c r="L391" s="9"/>
      <c r="M391" s="9"/>
      <c r="N391" s="40"/>
      <c r="O391" s="40"/>
      <c r="P391" s="40"/>
      <c r="Q391" s="41"/>
      <c r="R391" s="41"/>
      <c r="S391" s="41"/>
      <c r="T391" s="21"/>
      <c r="U391" s="21"/>
      <c r="V391" s="42"/>
    </row>
    <row r="392">
      <c r="C392" s="9"/>
      <c r="K392" s="40"/>
      <c r="L392" s="9"/>
      <c r="M392" s="9"/>
      <c r="N392" s="40"/>
      <c r="O392" s="40"/>
      <c r="P392" s="40"/>
      <c r="Q392" s="41"/>
      <c r="R392" s="41"/>
      <c r="S392" s="41"/>
      <c r="T392" s="21"/>
      <c r="U392" s="21"/>
      <c r="V392" s="42"/>
    </row>
    <row r="393">
      <c r="C393" s="9"/>
      <c r="K393" s="40"/>
      <c r="L393" s="9"/>
      <c r="M393" s="9"/>
      <c r="N393" s="40"/>
      <c r="O393" s="40"/>
      <c r="P393" s="40"/>
      <c r="Q393" s="41"/>
      <c r="R393" s="41"/>
      <c r="S393" s="41"/>
      <c r="T393" s="21"/>
      <c r="U393" s="21"/>
      <c r="V393" s="42"/>
    </row>
    <row r="394">
      <c r="C394" s="9"/>
      <c r="K394" s="40"/>
      <c r="L394" s="9"/>
      <c r="M394" s="9"/>
      <c r="N394" s="40"/>
      <c r="O394" s="40"/>
      <c r="P394" s="40"/>
      <c r="Q394" s="41"/>
      <c r="R394" s="41"/>
      <c r="S394" s="41"/>
      <c r="T394" s="21"/>
      <c r="U394" s="21"/>
      <c r="V394" s="42"/>
    </row>
    <row r="395">
      <c r="C395" s="9"/>
      <c r="K395" s="40"/>
      <c r="L395" s="9"/>
      <c r="M395" s="9"/>
      <c r="N395" s="40"/>
      <c r="O395" s="40"/>
      <c r="P395" s="40"/>
      <c r="Q395" s="41"/>
      <c r="R395" s="41"/>
      <c r="S395" s="41"/>
      <c r="T395" s="21"/>
      <c r="U395" s="21"/>
      <c r="V395" s="42"/>
    </row>
    <row r="396">
      <c r="C396" s="9"/>
      <c r="K396" s="40"/>
      <c r="L396" s="9"/>
      <c r="M396" s="9"/>
      <c r="N396" s="40"/>
      <c r="O396" s="40"/>
      <c r="P396" s="40"/>
      <c r="Q396" s="41"/>
      <c r="R396" s="41"/>
      <c r="S396" s="41"/>
      <c r="T396" s="21"/>
      <c r="U396" s="21"/>
      <c r="V396" s="42"/>
    </row>
    <row r="397">
      <c r="C397" s="9"/>
      <c r="K397" s="40"/>
      <c r="L397" s="9"/>
      <c r="M397" s="9"/>
      <c r="N397" s="40"/>
      <c r="O397" s="40"/>
      <c r="P397" s="40"/>
      <c r="Q397" s="41"/>
      <c r="R397" s="41"/>
      <c r="S397" s="41"/>
      <c r="T397" s="21"/>
      <c r="U397" s="21"/>
      <c r="V397" s="42"/>
    </row>
    <row r="398">
      <c r="C398" s="9"/>
      <c r="K398" s="40"/>
      <c r="L398" s="9"/>
      <c r="M398" s="9"/>
      <c r="N398" s="40"/>
      <c r="O398" s="40"/>
      <c r="P398" s="40"/>
      <c r="Q398" s="41"/>
      <c r="R398" s="41"/>
      <c r="S398" s="41"/>
      <c r="T398" s="21"/>
      <c r="U398" s="21"/>
      <c r="V398" s="42"/>
    </row>
    <row r="399">
      <c r="C399" s="9"/>
      <c r="K399" s="40"/>
      <c r="L399" s="9"/>
      <c r="M399" s="9"/>
      <c r="N399" s="40"/>
      <c r="O399" s="40"/>
      <c r="P399" s="40"/>
      <c r="Q399" s="41"/>
      <c r="R399" s="41"/>
      <c r="S399" s="41"/>
      <c r="T399" s="21"/>
      <c r="U399" s="21"/>
      <c r="V399" s="42"/>
    </row>
    <row r="400">
      <c r="C400" s="9"/>
      <c r="K400" s="40"/>
      <c r="L400" s="9"/>
      <c r="M400" s="9"/>
      <c r="N400" s="40"/>
      <c r="O400" s="40"/>
      <c r="P400" s="40"/>
      <c r="Q400" s="41"/>
      <c r="R400" s="41"/>
      <c r="S400" s="41"/>
      <c r="T400" s="21"/>
      <c r="U400" s="21"/>
      <c r="V400" s="42"/>
    </row>
    <row r="401">
      <c r="C401" s="9"/>
      <c r="K401" s="40"/>
      <c r="L401" s="9"/>
      <c r="M401" s="9"/>
      <c r="N401" s="40"/>
      <c r="O401" s="40"/>
      <c r="P401" s="40"/>
      <c r="Q401" s="41"/>
      <c r="R401" s="41"/>
      <c r="S401" s="41"/>
      <c r="T401" s="21"/>
      <c r="U401" s="21"/>
      <c r="V401" s="42"/>
    </row>
    <row r="402">
      <c r="C402" s="9"/>
      <c r="K402" s="40"/>
      <c r="L402" s="9"/>
      <c r="M402" s="9"/>
      <c r="N402" s="40"/>
      <c r="O402" s="40"/>
      <c r="P402" s="40"/>
      <c r="Q402" s="41"/>
      <c r="R402" s="41"/>
      <c r="S402" s="41"/>
      <c r="T402" s="21"/>
      <c r="U402" s="21"/>
      <c r="V402" s="42"/>
    </row>
    <row r="403">
      <c r="C403" s="9"/>
      <c r="K403" s="40"/>
      <c r="L403" s="9"/>
      <c r="M403" s="9"/>
      <c r="N403" s="40"/>
      <c r="O403" s="40"/>
      <c r="P403" s="40"/>
      <c r="Q403" s="41"/>
      <c r="R403" s="41"/>
      <c r="S403" s="41"/>
      <c r="T403" s="21"/>
      <c r="U403" s="21"/>
      <c r="V403" s="42"/>
    </row>
    <row r="404">
      <c r="C404" s="9"/>
      <c r="K404" s="40"/>
      <c r="L404" s="9"/>
      <c r="M404" s="9"/>
      <c r="N404" s="40"/>
      <c r="O404" s="40"/>
      <c r="P404" s="40"/>
      <c r="Q404" s="41"/>
      <c r="R404" s="41"/>
      <c r="S404" s="41"/>
      <c r="T404" s="21"/>
      <c r="U404" s="21"/>
      <c r="V404" s="42"/>
    </row>
    <row r="405">
      <c r="C405" s="9"/>
      <c r="K405" s="40"/>
      <c r="L405" s="9"/>
      <c r="M405" s="9"/>
      <c r="N405" s="40"/>
      <c r="O405" s="40"/>
      <c r="P405" s="40"/>
      <c r="Q405" s="41"/>
      <c r="R405" s="41"/>
      <c r="S405" s="41"/>
      <c r="T405" s="21"/>
      <c r="U405" s="21"/>
      <c r="V405" s="42"/>
    </row>
    <row r="406">
      <c r="C406" s="9"/>
      <c r="K406" s="40"/>
      <c r="L406" s="9"/>
      <c r="M406" s="9"/>
      <c r="N406" s="40"/>
      <c r="O406" s="40"/>
      <c r="P406" s="40"/>
      <c r="Q406" s="41"/>
      <c r="R406" s="41"/>
      <c r="S406" s="41"/>
      <c r="T406" s="21"/>
      <c r="U406" s="21"/>
      <c r="V406" s="42"/>
    </row>
    <row r="407">
      <c r="C407" s="9"/>
      <c r="K407" s="40"/>
      <c r="L407" s="9"/>
      <c r="M407" s="9"/>
      <c r="N407" s="40"/>
      <c r="O407" s="40"/>
      <c r="P407" s="40"/>
      <c r="Q407" s="41"/>
      <c r="R407" s="41"/>
      <c r="S407" s="41"/>
      <c r="T407" s="21"/>
      <c r="U407" s="21"/>
      <c r="V407" s="42"/>
    </row>
    <row r="408">
      <c r="C408" s="9"/>
      <c r="K408" s="40"/>
      <c r="L408" s="9"/>
      <c r="M408" s="9"/>
      <c r="N408" s="40"/>
      <c r="O408" s="40"/>
      <c r="P408" s="40"/>
      <c r="Q408" s="41"/>
      <c r="R408" s="41"/>
      <c r="S408" s="41"/>
      <c r="T408" s="21"/>
      <c r="U408" s="21"/>
      <c r="V408" s="42"/>
    </row>
    <row r="409">
      <c r="C409" s="9"/>
      <c r="K409" s="40"/>
      <c r="L409" s="9"/>
      <c r="M409" s="9"/>
      <c r="N409" s="40"/>
      <c r="O409" s="40"/>
      <c r="P409" s="40"/>
      <c r="Q409" s="41"/>
      <c r="R409" s="41"/>
      <c r="S409" s="41"/>
      <c r="T409" s="21"/>
      <c r="U409" s="21"/>
      <c r="V409" s="42"/>
    </row>
    <row r="410">
      <c r="C410" s="9"/>
      <c r="K410" s="40"/>
      <c r="L410" s="9"/>
      <c r="M410" s="9"/>
      <c r="N410" s="40"/>
      <c r="O410" s="40"/>
      <c r="P410" s="40"/>
      <c r="Q410" s="41"/>
      <c r="R410" s="41"/>
      <c r="S410" s="41"/>
      <c r="T410" s="21"/>
      <c r="U410" s="21"/>
      <c r="V410" s="42"/>
    </row>
    <row r="411">
      <c r="C411" s="9"/>
      <c r="K411" s="40"/>
      <c r="L411" s="9"/>
      <c r="M411" s="9"/>
      <c r="N411" s="40"/>
      <c r="O411" s="40"/>
      <c r="P411" s="40"/>
      <c r="Q411" s="41"/>
      <c r="R411" s="41"/>
      <c r="S411" s="41"/>
      <c r="T411" s="21"/>
      <c r="U411" s="21"/>
      <c r="V411" s="42"/>
    </row>
    <row r="412">
      <c r="C412" s="9"/>
      <c r="K412" s="40"/>
      <c r="L412" s="9"/>
      <c r="M412" s="9"/>
      <c r="N412" s="40"/>
      <c r="O412" s="40"/>
      <c r="P412" s="40"/>
      <c r="Q412" s="41"/>
      <c r="R412" s="41"/>
      <c r="S412" s="41"/>
      <c r="T412" s="21"/>
      <c r="U412" s="21"/>
      <c r="V412" s="42"/>
    </row>
    <row r="413">
      <c r="C413" s="9"/>
      <c r="K413" s="40"/>
      <c r="L413" s="9"/>
      <c r="M413" s="9"/>
      <c r="N413" s="40"/>
      <c r="O413" s="40"/>
      <c r="P413" s="40"/>
      <c r="Q413" s="41"/>
      <c r="R413" s="41"/>
      <c r="S413" s="41"/>
      <c r="T413" s="21"/>
      <c r="U413" s="21"/>
      <c r="V413" s="42"/>
    </row>
    <row r="414">
      <c r="C414" s="9"/>
      <c r="K414" s="40"/>
      <c r="L414" s="9"/>
      <c r="M414" s="9"/>
      <c r="N414" s="40"/>
      <c r="O414" s="40"/>
      <c r="P414" s="40"/>
      <c r="Q414" s="41"/>
      <c r="R414" s="41"/>
      <c r="S414" s="41"/>
      <c r="T414" s="21"/>
      <c r="U414" s="21"/>
      <c r="V414" s="42"/>
    </row>
    <row r="415">
      <c r="C415" s="9"/>
      <c r="K415" s="40"/>
      <c r="L415" s="9"/>
      <c r="M415" s="9"/>
      <c r="N415" s="40"/>
      <c r="O415" s="40"/>
      <c r="P415" s="40"/>
      <c r="Q415" s="41"/>
      <c r="R415" s="41"/>
      <c r="S415" s="41"/>
      <c r="T415" s="21"/>
      <c r="U415" s="21"/>
      <c r="V415" s="42"/>
    </row>
    <row r="416">
      <c r="C416" s="9"/>
      <c r="K416" s="40"/>
      <c r="L416" s="9"/>
      <c r="M416" s="9"/>
      <c r="N416" s="40"/>
      <c r="O416" s="40"/>
      <c r="P416" s="40"/>
      <c r="Q416" s="41"/>
      <c r="R416" s="41"/>
      <c r="S416" s="41"/>
      <c r="T416" s="21"/>
      <c r="U416" s="21"/>
      <c r="V416" s="42"/>
    </row>
    <row r="417">
      <c r="C417" s="9"/>
      <c r="K417" s="40"/>
      <c r="L417" s="9"/>
      <c r="M417" s="9"/>
      <c r="N417" s="40"/>
      <c r="O417" s="40"/>
      <c r="P417" s="40"/>
      <c r="Q417" s="41"/>
      <c r="R417" s="41"/>
      <c r="S417" s="41"/>
      <c r="T417" s="21"/>
      <c r="U417" s="21"/>
      <c r="V417" s="42"/>
    </row>
    <row r="418">
      <c r="C418" s="9"/>
      <c r="K418" s="40"/>
      <c r="L418" s="9"/>
      <c r="M418" s="9"/>
      <c r="N418" s="40"/>
      <c r="O418" s="40"/>
      <c r="P418" s="40"/>
      <c r="Q418" s="41"/>
      <c r="R418" s="41"/>
      <c r="S418" s="41"/>
      <c r="T418" s="21"/>
      <c r="U418" s="21"/>
      <c r="V418" s="42"/>
    </row>
    <row r="419">
      <c r="C419" s="9"/>
      <c r="K419" s="40"/>
      <c r="L419" s="9"/>
      <c r="M419" s="9"/>
      <c r="N419" s="40"/>
      <c r="O419" s="40"/>
      <c r="P419" s="40"/>
      <c r="Q419" s="41"/>
      <c r="R419" s="41"/>
      <c r="S419" s="41"/>
      <c r="T419" s="21"/>
      <c r="U419" s="21"/>
      <c r="V419" s="42"/>
    </row>
    <row r="420">
      <c r="C420" s="9"/>
      <c r="K420" s="40"/>
      <c r="L420" s="9"/>
      <c r="M420" s="9"/>
      <c r="N420" s="40"/>
      <c r="O420" s="40"/>
      <c r="P420" s="40"/>
      <c r="Q420" s="41"/>
      <c r="R420" s="41"/>
      <c r="S420" s="41"/>
      <c r="T420" s="21"/>
      <c r="U420" s="21"/>
      <c r="V420" s="42"/>
    </row>
    <row r="421">
      <c r="C421" s="9"/>
      <c r="K421" s="40"/>
      <c r="L421" s="9"/>
      <c r="M421" s="9"/>
      <c r="N421" s="40"/>
      <c r="O421" s="40"/>
      <c r="P421" s="40"/>
      <c r="Q421" s="41"/>
      <c r="R421" s="41"/>
      <c r="S421" s="41"/>
      <c r="T421" s="21"/>
      <c r="U421" s="21"/>
      <c r="V421" s="42"/>
    </row>
    <row r="422">
      <c r="C422" s="9"/>
      <c r="K422" s="40"/>
      <c r="L422" s="9"/>
      <c r="M422" s="9"/>
      <c r="N422" s="40"/>
      <c r="O422" s="40"/>
      <c r="P422" s="40"/>
      <c r="Q422" s="41"/>
      <c r="R422" s="41"/>
      <c r="S422" s="41"/>
      <c r="T422" s="21"/>
      <c r="U422" s="21"/>
      <c r="V422" s="42"/>
    </row>
    <row r="423">
      <c r="C423" s="9"/>
      <c r="K423" s="40"/>
      <c r="L423" s="9"/>
      <c r="M423" s="9"/>
      <c r="N423" s="40"/>
      <c r="O423" s="40"/>
      <c r="P423" s="40"/>
      <c r="Q423" s="41"/>
      <c r="R423" s="41"/>
      <c r="S423" s="41"/>
      <c r="T423" s="21"/>
      <c r="U423" s="21"/>
      <c r="V423" s="42"/>
    </row>
    <row r="424">
      <c r="C424" s="9"/>
      <c r="K424" s="40"/>
      <c r="L424" s="9"/>
      <c r="M424" s="9"/>
      <c r="N424" s="40"/>
      <c r="O424" s="40"/>
      <c r="P424" s="40"/>
      <c r="Q424" s="41"/>
      <c r="R424" s="41"/>
      <c r="S424" s="41"/>
      <c r="T424" s="21"/>
      <c r="U424" s="21"/>
      <c r="V424" s="42"/>
    </row>
    <row r="425">
      <c r="C425" s="9"/>
      <c r="K425" s="40"/>
      <c r="L425" s="9"/>
      <c r="M425" s="9"/>
      <c r="N425" s="40"/>
      <c r="O425" s="40"/>
      <c r="P425" s="40"/>
      <c r="Q425" s="41"/>
      <c r="R425" s="41"/>
      <c r="S425" s="41"/>
      <c r="T425" s="21"/>
      <c r="U425" s="21"/>
      <c r="V425" s="42"/>
    </row>
    <row r="426">
      <c r="C426" s="9"/>
      <c r="K426" s="40"/>
      <c r="L426" s="9"/>
      <c r="M426" s="9"/>
      <c r="N426" s="40"/>
      <c r="O426" s="40"/>
      <c r="P426" s="40"/>
      <c r="Q426" s="41"/>
      <c r="R426" s="41"/>
      <c r="S426" s="41"/>
      <c r="T426" s="21"/>
      <c r="U426" s="21"/>
      <c r="V426" s="42"/>
    </row>
    <row r="427">
      <c r="C427" s="9"/>
      <c r="K427" s="40"/>
      <c r="L427" s="9"/>
      <c r="M427" s="9"/>
      <c r="N427" s="40"/>
      <c r="O427" s="40"/>
      <c r="P427" s="40"/>
      <c r="Q427" s="41"/>
      <c r="R427" s="41"/>
      <c r="S427" s="41"/>
      <c r="T427" s="21"/>
      <c r="U427" s="21"/>
      <c r="V427" s="42"/>
    </row>
    <row r="428">
      <c r="C428" s="9"/>
      <c r="K428" s="40"/>
      <c r="L428" s="9"/>
      <c r="M428" s="9"/>
      <c r="N428" s="40"/>
      <c r="O428" s="40"/>
      <c r="P428" s="40"/>
      <c r="Q428" s="41"/>
      <c r="R428" s="41"/>
      <c r="S428" s="41"/>
      <c r="T428" s="21"/>
      <c r="U428" s="21"/>
      <c r="V428" s="42"/>
    </row>
    <row r="429">
      <c r="C429" s="9"/>
      <c r="K429" s="40"/>
      <c r="L429" s="9"/>
      <c r="M429" s="9"/>
      <c r="N429" s="40"/>
      <c r="O429" s="40"/>
      <c r="P429" s="40"/>
      <c r="Q429" s="41"/>
      <c r="R429" s="41"/>
      <c r="S429" s="41"/>
      <c r="T429" s="21"/>
      <c r="U429" s="21"/>
      <c r="V429" s="42"/>
    </row>
    <row r="430">
      <c r="C430" s="9"/>
      <c r="K430" s="40"/>
      <c r="L430" s="9"/>
      <c r="M430" s="9"/>
      <c r="N430" s="40"/>
      <c r="O430" s="40"/>
      <c r="P430" s="40"/>
      <c r="Q430" s="41"/>
      <c r="R430" s="41"/>
      <c r="S430" s="41"/>
      <c r="T430" s="21"/>
      <c r="U430" s="21"/>
      <c r="V430" s="42"/>
    </row>
    <row r="431">
      <c r="C431" s="9"/>
      <c r="K431" s="40"/>
      <c r="L431" s="9"/>
      <c r="M431" s="9"/>
      <c r="N431" s="40"/>
      <c r="O431" s="40"/>
      <c r="P431" s="40"/>
      <c r="Q431" s="41"/>
      <c r="R431" s="41"/>
      <c r="S431" s="41"/>
      <c r="T431" s="21"/>
      <c r="U431" s="21"/>
      <c r="V431" s="42"/>
    </row>
    <row r="432">
      <c r="C432" s="9"/>
      <c r="K432" s="40"/>
      <c r="L432" s="9"/>
      <c r="M432" s="9"/>
      <c r="N432" s="40"/>
      <c r="O432" s="40"/>
      <c r="P432" s="40"/>
      <c r="Q432" s="41"/>
      <c r="R432" s="41"/>
      <c r="S432" s="41"/>
      <c r="T432" s="21"/>
      <c r="U432" s="21"/>
      <c r="V432" s="42"/>
    </row>
    <row r="433">
      <c r="C433" s="9"/>
      <c r="K433" s="40"/>
      <c r="L433" s="9"/>
      <c r="M433" s="9"/>
      <c r="N433" s="40"/>
      <c r="O433" s="40"/>
      <c r="P433" s="40"/>
      <c r="Q433" s="41"/>
      <c r="R433" s="41"/>
      <c r="S433" s="41"/>
      <c r="T433" s="21"/>
      <c r="U433" s="21"/>
      <c r="V433" s="42"/>
    </row>
    <row r="434">
      <c r="C434" s="9"/>
      <c r="K434" s="40"/>
      <c r="L434" s="9"/>
      <c r="M434" s="9"/>
      <c r="N434" s="40"/>
      <c r="O434" s="40"/>
      <c r="P434" s="40"/>
      <c r="Q434" s="41"/>
      <c r="R434" s="41"/>
      <c r="S434" s="41"/>
      <c r="T434" s="21"/>
      <c r="U434" s="21"/>
      <c r="V434" s="42"/>
    </row>
    <row r="435">
      <c r="C435" s="9"/>
      <c r="K435" s="40"/>
      <c r="L435" s="9"/>
      <c r="M435" s="9"/>
      <c r="N435" s="40"/>
      <c r="O435" s="40"/>
      <c r="P435" s="40"/>
      <c r="Q435" s="41"/>
      <c r="R435" s="41"/>
      <c r="S435" s="41"/>
      <c r="T435" s="21"/>
      <c r="U435" s="21"/>
      <c r="V435" s="42"/>
    </row>
    <row r="436">
      <c r="C436" s="9"/>
      <c r="K436" s="40"/>
      <c r="L436" s="9"/>
      <c r="M436" s="9"/>
      <c r="N436" s="40"/>
      <c r="O436" s="40"/>
      <c r="P436" s="40"/>
      <c r="Q436" s="41"/>
      <c r="R436" s="41"/>
      <c r="S436" s="41"/>
      <c r="T436" s="21"/>
      <c r="U436" s="21"/>
      <c r="V436" s="42"/>
    </row>
    <row r="437">
      <c r="C437" s="9"/>
      <c r="K437" s="40"/>
      <c r="L437" s="9"/>
      <c r="M437" s="9"/>
      <c r="N437" s="40"/>
      <c r="O437" s="40"/>
      <c r="P437" s="40"/>
      <c r="Q437" s="41"/>
      <c r="R437" s="41"/>
      <c r="S437" s="41"/>
      <c r="T437" s="21"/>
      <c r="U437" s="21"/>
      <c r="V437" s="42"/>
    </row>
    <row r="438">
      <c r="C438" s="9"/>
      <c r="K438" s="40"/>
      <c r="L438" s="9"/>
      <c r="M438" s="9"/>
      <c r="N438" s="40"/>
      <c r="O438" s="40"/>
      <c r="P438" s="40"/>
      <c r="Q438" s="41"/>
      <c r="R438" s="41"/>
      <c r="S438" s="41"/>
      <c r="T438" s="21"/>
      <c r="U438" s="21"/>
      <c r="V438" s="42"/>
    </row>
    <row r="439">
      <c r="C439" s="9"/>
      <c r="K439" s="40"/>
      <c r="L439" s="9"/>
      <c r="M439" s="9"/>
      <c r="N439" s="40"/>
      <c r="O439" s="40"/>
      <c r="P439" s="40"/>
      <c r="Q439" s="41"/>
      <c r="R439" s="41"/>
      <c r="S439" s="41"/>
      <c r="T439" s="21"/>
      <c r="U439" s="21"/>
      <c r="V439" s="42"/>
    </row>
    <row r="440">
      <c r="C440" s="9"/>
      <c r="K440" s="40"/>
      <c r="L440" s="9"/>
      <c r="M440" s="9"/>
      <c r="N440" s="40"/>
      <c r="O440" s="40"/>
      <c r="P440" s="40"/>
      <c r="Q440" s="41"/>
      <c r="R440" s="41"/>
      <c r="S440" s="41"/>
      <c r="T440" s="21"/>
      <c r="U440" s="21"/>
      <c r="V440" s="42"/>
    </row>
    <row r="441">
      <c r="C441" s="9"/>
      <c r="K441" s="40"/>
      <c r="L441" s="9"/>
      <c r="M441" s="9"/>
      <c r="N441" s="40"/>
      <c r="O441" s="40"/>
      <c r="P441" s="40"/>
      <c r="Q441" s="41"/>
      <c r="R441" s="41"/>
      <c r="S441" s="41"/>
      <c r="T441" s="21"/>
      <c r="U441" s="21"/>
      <c r="V441" s="42"/>
    </row>
    <row r="442">
      <c r="C442" s="9"/>
      <c r="K442" s="40"/>
      <c r="L442" s="9"/>
      <c r="M442" s="9"/>
      <c r="N442" s="40"/>
      <c r="O442" s="40"/>
      <c r="P442" s="40"/>
      <c r="Q442" s="41"/>
      <c r="R442" s="41"/>
      <c r="S442" s="41"/>
      <c r="T442" s="21"/>
      <c r="U442" s="21"/>
      <c r="V442" s="42"/>
    </row>
    <row r="443">
      <c r="C443" s="9"/>
      <c r="K443" s="40"/>
      <c r="L443" s="9"/>
      <c r="M443" s="9"/>
      <c r="N443" s="40"/>
      <c r="O443" s="40"/>
      <c r="P443" s="40"/>
      <c r="Q443" s="41"/>
      <c r="R443" s="41"/>
      <c r="S443" s="41"/>
      <c r="T443" s="21"/>
      <c r="U443" s="21"/>
      <c r="V443" s="42"/>
    </row>
    <row r="444">
      <c r="C444" s="9"/>
      <c r="K444" s="40"/>
      <c r="L444" s="9"/>
      <c r="M444" s="9"/>
      <c r="N444" s="40"/>
      <c r="O444" s="40"/>
      <c r="P444" s="40"/>
      <c r="Q444" s="41"/>
      <c r="R444" s="41"/>
      <c r="S444" s="41"/>
      <c r="T444" s="21"/>
      <c r="U444" s="21"/>
      <c r="V444" s="42"/>
    </row>
    <row r="445">
      <c r="C445" s="9"/>
      <c r="K445" s="40"/>
      <c r="L445" s="9"/>
      <c r="M445" s="9"/>
      <c r="N445" s="40"/>
      <c r="O445" s="40"/>
      <c r="P445" s="40"/>
      <c r="Q445" s="41"/>
      <c r="R445" s="41"/>
      <c r="S445" s="41"/>
      <c r="T445" s="21"/>
      <c r="U445" s="21"/>
      <c r="V445" s="42"/>
    </row>
    <row r="446">
      <c r="C446" s="9"/>
      <c r="K446" s="40"/>
      <c r="L446" s="9"/>
      <c r="M446" s="9"/>
      <c r="N446" s="40"/>
      <c r="O446" s="40"/>
      <c r="P446" s="40"/>
      <c r="Q446" s="41"/>
      <c r="R446" s="41"/>
      <c r="S446" s="41"/>
      <c r="T446" s="21"/>
      <c r="U446" s="21"/>
      <c r="V446" s="42"/>
    </row>
    <row r="447">
      <c r="C447" s="9"/>
      <c r="K447" s="40"/>
      <c r="L447" s="9"/>
      <c r="M447" s="9"/>
      <c r="N447" s="40"/>
      <c r="O447" s="40"/>
      <c r="P447" s="40"/>
      <c r="Q447" s="41"/>
      <c r="R447" s="41"/>
      <c r="S447" s="41"/>
      <c r="T447" s="21"/>
      <c r="U447" s="21"/>
      <c r="V447" s="42"/>
    </row>
    <row r="448">
      <c r="C448" s="9"/>
      <c r="K448" s="40"/>
      <c r="L448" s="9"/>
      <c r="M448" s="9"/>
      <c r="N448" s="40"/>
      <c r="O448" s="40"/>
      <c r="P448" s="40"/>
      <c r="Q448" s="41"/>
      <c r="R448" s="41"/>
      <c r="S448" s="41"/>
      <c r="T448" s="21"/>
      <c r="U448" s="21"/>
      <c r="V448" s="42"/>
    </row>
    <row r="449">
      <c r="C449" s="9"/>
      <c r="K449" s="40"/>
      <c r="L449" s="9"/>
      <c r="M449" s="9"/>
      <c r="N449" s="40"/>
      <c r="O449" s="40"/>
      <c r="P449" s="40"/>
      <c r="Q449" s="41"/>
      <c r="R449" s="41"/>
      <c r="S449" s="41"/>
      <c r="T449" s="21"/>
      <c r="U449" s="21"/>
      <c r="V449" s="42"/>
    </row>
    <row r="450">
      <c r="C450" s="9"/>
      <c r="K450" s="40"/>
      <c r="L450" s="9"/>
      <c r="M450" s="9"/>
      <c r="N450" s="40"/>
      <c r="O450" s="40"/>
      <c r="P450" s="40"/>
      <c r="Q450" s="41"/>
      <c r="R450" s="41"/>
      <c r="S450" s="41"/>
      <c r="T450" s="21"/>
      <c r="U450" s="21"/>
      <c r="V450" s="42"/>
    </row>
    <row r="451">
      <c r="C451" s="9"/>
      <c r="K451" s="40"/>
      <c r="L451" s="9"/>
      <c r="M451" s="9"/>
      <c r="N451" s="40"/>
      <c r="O451" s="40"/>
      <c r="P451" s="40"/>
      <c r="Q451" s="41"/>
      <c r="R451" s="41"/>
      <c r="S451" s="41"/>
      <c r="T451" s="21"/>
      <c r="U451" s="21"/>
      <c r="V451" s="42"/>
    </row>
    <row r="452">
      <c r="C452" s="9"/>
      <c r="K452" s="40"/>
      <c r="L452" s="9"/>
      <c r="M452" s="9"/>
      <c r="N452" s="40"/>
      <c r="O452" s="40"/>
      <c r="P452" s="40"/>
      <c r="Q452" s="41"/>
      <c r="R452" s="41"/>
      <c r="S452" s="41"/>
      <c r="T452" s="21"/>
      <c r="U452" s="21"/>
      <c r="V452" s="42"/>
    </row>
    <row r="453">
      <c r="C453" s="9"/>
      <c r="K453" s="40"/>
      <c r="L453" s="9"/>
      <c r="M453" s="9"/>
      <c r="N453" s="40"/>
      <c r="O453" s="40"/>
      <c r="P453" s="40"/>
      <c r="Q453" s="41"/>
      <c r="R453" s="41"/>
      <c r="S453" s="41"/>
      <c r="T453" s="21"/>
      <c r="U453" s="21"/>
      <c r="V453" s="42"/>
    </row>
    <row r="454">
      <c r="C454" s="9"/>
      <c r="K454" s="40"/>
      <c r="L454" s="9"/>
      <c r="M454" s="9"/>
      <c r="N454" s="40"/>
      <c r="O454" s="40"/>
      <c r="P454" s="40"/>
      <c r="Q454" s="41"/>
      <c r="R454" s="41"/>
      <c r="S454" s="41"/>
      <c r="T454" s="21"/>
      <c r="U454" s="21"/>
      <c r="V454" s="42"/>
    </row>
    <row r="455">
      <c r="C455" s="9"/>
      <c r="K455" s="40"/>
      <c r="L455" s="9"/>
      <c r="M455" s="9"/>
      <c r="N455" s="40"/>
      <c r="O455" s="40"/>
      <c r="P455" s="40"/>
      <c r="Q455" s="41"/>
      <c r="R455" s="41"/>
      <c r="S455" s="41"/>
      <c r="T455" s="21"/>
      <c r="U455" s="21"/>
      <c r="V455" s="42"/>
    </row>
    <row r="456">
      <c r="C456" s="9"/>
      <c r="K456" s="40"/>
      <c r="L456" s="9"/>
      <c r="M456" s="9"/>
      <c r="N456" s="40"/>
      <c r="O456" s="40"/>
      <c r="P456" s="40"/>
      <c r="Q456" s="41"/>
      <c r="R456" s="41"/>
      <c r="S456" s="41"/>
      <c r="T456" s="21"/>
      <c r="U456" s="21"/>
      <c r="V456" s="42"/>
    </row>
    <row r="457">
      <c r="C457" s="9"/>
      <c r="K457" s="40"/>
      <c r="L457" s="9"/>
      <c r="M457" s="9"/>
      <c r="N457" s="40"/>
      <c r="O457" s="40"/>
      <c r="P457" s="40"/>
      <c r="Q457" s="41"/>
      <c r="R457" s="41"/>
      <c r="S457" s="41"/>
      <c r="T457" s="21"/>
      <c r="U457" s="21"/>
      <c r="V457" s="42"/>
    </row>
    <row r="458">
      <c r="C458" s="9"/>
      <c r="K458" s="40"/>
      <c r="L458" s="9"/>
      <c r="M458" s="9"/>
      <c r="N458" s="40"/>
      <c r="O458" s="40"/>
      <c r="P458" s="40"/>
      <c r="Q458" s="41"/>
      <c r="R458" s="41"/>
      <c r="S458" s="41"/>
      <c r="T458" s="21"/>
      <c r="U458" s="21"/>
      <c r="V458" s="42"/>
    </row>
    <row r="459">
      <c r="C459" s="9"/>
      <c r="K459" s="40"/>
      <c r="L459" s="9"/>
      <c r="M459" s="9"/>
      <c r="N459" s="40"/>
      <c r="O459" s="40"/>
      <c r="P459" s="40"/>
      <c r="Q459" s="41"/>
      <c r="R459" s="41"/>
      <c r="S459" s="41"/>
      <c r="T459" s="21"/>
      <c r="U459" s="21"/>
      <c r="V459" s="42"/>
    </row>
    <row r="460">
      <c r="C460" s="9"/>
      <c r="K460" s="40"/>
      <c r="L460" s="9"/>
      <c r="M460" s="9"/>
      <c r="N460" s="40"/>
      <c r="O460" s="40"/>
      <c r="P460" s="40"/>
      <c r="Q460" s="41"/>
      <c r="R460" s="41"/>
      <c r="S460" s="41"/>
      <c r="T460" s="21"/>
      <c r="U460" s="21"/>
      <c r="V460" s="42"/>
    </row>
    <row r="461">
      <c r="C461" s="9"/>
      <c r="K461" s="40"/>
      <c r="L461" s="9"/>
      <c r="M461" s="9"/>
      <c r="N461" s="40"/>
      <c r="O461" s="40"/>
      <c r="P461" s="40"/>
      <c r="Q461" s="41"/>
      <c r="R461" s="41"/>
      <c r="S461" s="41"/>
      <c r="T461" s="21"/>
      <c r="U461" s="21"/>
      <c r="V461" s="42"/>
    </row>
    <row r="462">
      <c r="C462" s="9"/>
      <c r="K462" s="40"/>
      <c r="L462" s="9"/>
      <c r="M462" s="9"/>
      <c r="N462" s="40"/>
      <c r="O462" s="40"/>
      <c r="P462" s="40"/>
      <c r="Q462" s="41"/>
      <c r="R462" s="41"/>
      <c r="S462" s="41"/>
      <c r="T462" s="21"/>
      <c r="U462" s="21"/>
      <c r="V462" s="42"/>
    </row>
    <row r="463">
      <c r="C463" s="9"/>
      <c r="K463" s="40"/>
      <c r="L463" s="9"/>
      <c r="M463" s="9"/>
      <c r="N463" s="40"/>
      <c r="O463" s="40"/>
      <c r="P463" s="40"/>
      <c r="Q463" s="41"/>
      <c r="R463" s="41"/>
      <c r="S463" s="41"/>
      <c r="T463" s="21"/>
      <c r="U463" s="21"/>
      <c r="V463" s="42"/>
    </row>
    <row r="464">
      <c r="C464" s="9"/>
      <c r="K464" s="40"/>
      <c r="L464" s="9"/>
      <c r="M464" s="9"/>
      <c r="N464" s="40"/>
      <c r="O464" s="40"/>
      <c r="P464" s="40"/>
      <c r="Q464" s="41"/>
      <c r="R464" s="41"/>
      <c r="S464" s="41"/>
      <c r="T464" s="21"/>
      <c r="U464" s="21"/>
      <c r="V464" s="42"/>
    </row>
    <row r="465">
      <c r="C465" s="9"/>
      <c r="K465" s="40"/>
      <c r="L465" s="9"/>
      <c r="M465" s="9"/>
      <c r="N465" s="40"/>
      <c r="O465" s="40"/>
      <c r="P465" s="40"/>
      <c r="Q465" s="41"/>
      <c r="R465" s="41"/>
      <c r="S465" s="41"/>
      <c r="T465" s="21"/>
      <c r="U465" s="21"/>
      <c r="V465" s="42"/>
    </row>
    <row r="466">
      <c r="C466" s="9"/>
      <c r="K466" s="40"/>
      <c r="L466" s="9"/>
      <c r="M466" s="9"/>
      <c r="N466" s="40"/>
      <c r="O466" s="40"/>
      <c r="P466" s="40"/>
      <c r="Q466" s="41"/>
      <c r="R466" s="41"/>
      <c r="S466" s="41"/>
      <c r="T466" s="21"/>
      <c r="U466" s="21"/>
      <c r="V466" s="42"/>
    </row>
    <row r="467">
      <c r="C467" s="9"/>
      <c r="K467" s="40"/>
      <c r="L467" s="9"/>
      <c r="M467" s="9"/>
      <c r="N467" s="40"/>
      <c r="O467" s="40"/>
      <c r="P467" s="40"/>
      <c r="Q467" s="41"/>
      <c r="R467" s="41"/>
      <c r="S467" s="41"/>
      <c r="T467" s="21"/>
      <c r="U467" s="21"/>
      <c r="V467" s="42"/>
    </row>
    <row r="468">
      <c r="C468" s="9"/>
      <c r="K468" s="40"/>
      <c r="L468" s="9"/>
      <c r="M468" s="9"/>
      <c r="N468" s="40"/>
      <c r="O468" s="40"/>
      <c r="P468" s="40"/>
      <c r="Q468" s="41"/>
      <c r="R468" s="41"/>
      <c r="S468" s="41"/>
      <c r="T468" s="21"/>
      <c r="U468" s="21"/>
      <c r="V468" s="42"/>
    </row>
    <row r="469">
      <c r="C469" s="9"/>
      <c r="K469" s="40"/>
      <c r="L469" s="9"/>
      <c r="M469" s="9"/>
      <c r="N469" s="40"/>
      <c r="O469" s="40"/>
      <c r="P469" s="40"/>
      <c r="Q469" s="41"/>
      <c r="R469" s="41"/>
      <c r="S469" s="41"/>
      <c r="T469" s="21"/>
      <c r="U469" s="21"/>
      <c r="V469" s="42"/>
    </row>
    <row r="470">
      <c r="C470" s="9"/>
      <c r="K470" s="40"/>
      <c r="L470" s="9"/>
      <c r="M470" s="9"/>
      <c r="N470" s="40"/>
      <c r="O470" s="40"/>
      <c r="P470" s="40"/>
      <c r="Q470" s="41"/>
      <c r="R470" s="41"/>
      <c r="S470" s="41"/>
      <c r="T470" s="21"/>
      <c r="U470" s="21"/>
      <c r="V470" s="42"/>
    </row>
    <row r="471">
      <c r="C471" s="9"/>
      <c r="K471" s="40"/>
      <c r="L471" s="9"/>
      <c r="M471" s="9"/>
      <c r="N471" s="40"/>
      <c r="O471" s="40"/>
      <c r="P471" s="40"/>
      <c r="Q471" s="41"/>
      <c r="R471" s="41"/>
      <c r="S471" s="41"/>
      <c r="T471" s="21"/>
      <c r="U471" s="21"/>
      <c r="V471" s="42"/>
    </row>
    <row r="472">
      <c r="C472" s="9"/>
      <c r="K472" s="40"/>
      <c r="L472" s="9"/>
      <c r="M472" s="9"/>
      <c r="N472" s="40"/>
      <c r="O472" s="40"/>
      <c r="P472" s="40"/>
      <c r="Q472" s="41"/>
      <c r="R472" s="41"/>
      <c r="S472" s="41"/>
      <c r="T472" s="21"/>
      <c r="U472" s="21"/>
      <c r="V472" s="42"/>
    </row>
    <row r="473">
      <c r="C473" s="9"/>
      <c r="K473" s="40"/>
      <c r="L473" s="9"/>
      <c r="M473" s="9"/>
      <c r="N473" s="40"/>
      <c r="O473" s="40"/>
      <c r="P473" s="40"/>
      <c r="Q473" s="41"/>
      <c r="R473" s="41"/>
      <c r="S473" s="41"/>
      <c r="T473" s="21"/>
      <c r="U473" s="21"/>
      <c r="V473" s="42"/>
    </row>
    <row r="474">
      <c r="C474" s="9"/>
      <c r="K474" s="40"/>
      <c r="L474" s="9"/>
      <c r="M474" s="9"/>
      <c r="N474" s="40"/>
      <c r="O474" s="40"/>
      <c r="P474" s="40"/>
      <c r="Q474" s="41"/>
      <c r="R474" s="41"/>
      <c r="S474" s="41"/>
      <c r="T474" s="21"/>
      <c r="U474" s="21"/>
      <c r="V474" s="42"/>
    </row>
    <row r="475">
      <c r="C475" s="9"/>
      <c r="K475" s="40"/>
      <c r="L475" s="9"/>
      <c r="M475" s="9"/>
      <c r="N475" s="40"/>
      <c r="O475" s="40"/>
      <c r="P475" s="40"/>
      <c r="Q475" s="41"/>
      <c r="R475" s="41"/>
      <c r="S475" s="41"/>
      <c r="T475" s="21"/>
      <c r="U475" s="21"/>
      <c r="V475" s="42"/>
    </row>
    <row r="476">
      <c r="C476" s="9"/>
      <c r="K476" s="40"/>
      <c r="L476" s="9"/>
      <c r="M476" s="9"/>
      <c r="N476" s="40"/>
      <c r="O476" s="40"/>
      <c r="P476" s="40"/>
      <c r="Q476" s="41"/>
      <c r="R476" s="41"/>
      <c r="S476" s="41"/>
      <c r="T476" s="21"/>
      <c r="U476" s="21"/>
      <c r="V476" s="42"/>
    </row>
    <row r="477">
      <c r="C477" s="9"/>
      <c r="K477" s="40"/>
      <c r="L477" s="9"/>
      <c r="M477" s="9"/>
      <c r="N477" s="40"/>
      <c r="O477" s="40"/>
      <c r="P477" s="40"/>
      <c r="Q477" s="41"/>
      <c r="R477" s="41"/>
      <c r="S477" s="41"/>
      <c r="T477" s="21"/>
      <c r="U477" s="21"/>
      <c r="V477" s="42"/>
    </row>
    <row r="478">
      <c r="C478" s="9"/>
      <c r="K478" s="40"/>
      <c r="L478" s="9"/>
      <c r="M478" s="9"/>
      <c r="N478" s="40"/>
      <c r="O478" s="40"/>
      <c r="P478" s="40"/>
      <c r="Q478" s="41"/>
      <c r="R478" s="41"/>
      <c r="S478" s="41"/>
      <c r="T478" s="21"/>
      <c r="U478" s="21"/>
      <c r="V478" s="42"/>
    </row>
    <row r="479">
      <c r="C479" s="9"/>
      <c r="K479" s="40"/>
      <c r="L479" s="9"/>
      <c r="M479" s="9"/>
      <c r="N479" s="40"/>
      <c r="O479" s="40"/>
      <c r="P479" s="40"/>
      <c r="Q479" s="41"/>
      <c r="R479" s="41"/>
      <c r="S479" s="41"/>
      <c r="T479" s="21"/>
      <c r="U479" s="21"/>
      <c r="V479" s="42"/>
    </row>
    <row r="480">
      <c r="C480" s="9"/>
      <c r="K480" s="40"/>
      <c r="L480" s="9"/>
      <c r="M480" s="9"/>
      <c r="N480" s="40"/>
      <c r="O480" s="40"/>
      <c r="P480" s="40"/>
      <c r="Q480" s="41"/>
      <c r="R480" s="41"/>
      <c r="S480" s="41"/>
      <c r="T480" s="21"/>
      <c r="U480" s="21"/>
      <c r="V480" s="42"/>
    </row>
    <row r="481">
      <c r="C481" s="9"/>
      <c r="K481" s="40"/>
      <c r="L481" s="9"/>
      <c r="M481" s="9"/>
      <c r="N481" s="40"/>
      <c r="O481" s="40"/>
      <c r="P481" s="40"/>
      <c r="Q481" s="41"/>
      <c r="R481" s="41"/>
      <c r="S481" s="41"/>
      <c r="T481" s="21"/>
      <c r="U481" s="21"/>
      <c r="V481" s="42"/>
    </row>
    <row r="482">
      <c r="C482" s="9"/>
      <c r="K482" s="40"/>
      <c r="L482" s="9"/>
      <c r="M482" s="9"/>
      <c r="N482" s="40"/>
      <c r="O482" s="40"/>
      <c r="P482" s="40"/>
      <c r="Q482" s="41"/>
      <c r="R482" s="41"/>
      <c r="S482" s="41"/>
      <c r="T482" s="21"/>
      <c r="U482" s="21"/>
      <c r="V482" s="42"/>
    </row>
    <row r="483">
      <c r="C483" s="9"/>
      <c r="K483" s="40"/>
      <c r="L483" s="9"/>
      <c r="M483" s="9"/>
      <c r="N483" s="40"/>
      <c r="O483" s="40"/>
      <c r="P483" s="40"/>
      <c r="Q483" s="41"/>
      <c r="R483" s="41"/>
      <c r="S483" s="41"/>
      <c r="T483" s="21"/>
      <c r="U483" s="21"/>
      <c r="V483" s="42"/>
    </row>
    <row r="484">
      <c r="C484" s="9"/>
      <c r="K484" s="40"/>
      <c r="L484" s="9"/>
      <c r="M484" s="9"/>
      <c r="N484" s="40"/>
      <c r="O484" s="40"/>
      <c r="P484" s="40"/>
      <c r="Q484" s="41"/>
      <c r="R484" s="41"/>
      <c r="S484" s="41"/>
      <c r="T484" s="21"/>
      <c r="U484" s="21"/>
      <c r="V484" s="42"/>
    </row>
    <row r="485">
      <c r="C485" s="9"/>
      <c r="K485" s="40"/>
      <c r="L485" s="9"/>
      <c r="M485" s="9"/>
      <c r="N485" s="40"/>
      <c r="O485" s="40"/>
      <c r="P485" s="40"/>
      <c r="Q485" s="41"/>
      <c r="R485" s="41"/>
      <c r="S485" s="41"/>
      <c r="T485" s="21"/>
      <c r="U485" s="21"/>
      <c r="V485" s="42"/>
    </row>
    <row r="486">
      <c r="C486" s="9"/>
      <c r="K486" s="40"/>
      <c r="L486" s="9"/>
      <c r="M486" s="9"/>
      <c r="N486" s="40"/>
      <c r="O486" s="40"/>
      <c r="P486" s="40"/>
      <c r="Q486" s="41"/>
      <c r="R486" s="41"/>
      <c r="S486" s="41"/>
      <c r="T486" s="21"/>
      <c r="U486" s="21"/>
      <c r="V486" s="42"/>
    </row>
    <row r="487">
      <c r="C487" s="9"/>
      <c r="K487" s="40"/>
      <c r="L487" s="9"/>
      <c r="M487" s="9"/>
      <c r="N487" s="40"/>
      <c r="O487" s="40"/>
      <c r="P487" s="40"/>
      <c r="Q487" s="41"/>
      <c r="R487" s="41"/>
      <c r="S487" s="41"/>
      <c r="T487" s="21"/>
      <c r="U487" s="21"/>
      <c r="V487" s="42"/>
    </row>
    <row r="488">
      <c r="C488" s="9"/>
      <c r="K488" s="40"/>
      <c r="L488" s="9"/>
      <c r="M488" s="9"/>
      <c r="N488" s="40"/>
      <c r="O488" s="40"/>
      <c r="P488" s="40"/>
      <c r="Q488" s="41"/>
      <c r="R488" s="41"/>
      <c r="S488" s="41"/>
      <c r="T488" s="21"/>
      <c r="U488" s="21"/>
      <c r="V488" s="42"/>
    </row>
    <row r="489">
      <c r="C489" s="9"/>
      <c r="K489" s="40"/>
      <c r="L489" s="9"/>
      <c r="M489" s="9"/>
      <c r="N489" s="40"/>
      <c r="O489" s="40"/>
      <c r="P489" s="40"/>
      <c r="Q489" s="41"/>
      <c r="R489" s="41"/>
      <c r="S489" s="41"/>
      <c r="T489" s="21"/>
      <c r="U489" s="21"/>
      <c r="V489" s="42"/>
    </row>
    <row r="490">
      <c r="C490" s="9"/>
      <c r="K490" s="40"/>
      <c r="L490" s="9"/>
      <c r="M490" s="9"/>
      <c r="N490" s="40"/>
      <c r="O490" s="40"/>
      <c r="P490" s="40"/>
      <c r="Q490" s="41"/>
      <c r="R490" s="41"/>
      <c r="S490" s="41"/>
      <c r="T490" s="21"/>
      <c r="U490" s="21"/>
      <c r="V490" s="42"/>
    </row>
    <row r="491">
      <c r="C491" s="9"/>
      <c r="K491" s="40"/>
      <c r="L491" s="9"/>
      <c r="M491" s="9"/>
      <c r="N491" s="40"/>
      <c r="O491" s="40"/>
      <c r="P491" s="40"/>
      <c r="Q491" s="41"/>
      <c r="R491" s="41"/>
      <c r="S491" s="41"/>
      <c r="T491" s="21"/>
      <c r="U491" s="21"/>
      <c r="V491" s="42"/>
    </row>
    <row r="492">
      <c r="C492" s="9"/>
      <c r="K492" s="40"/>
      <c r="L492" s="9"/>
      <c r="M492" s="9"/>
      <c r="N492" s="40"/>
      <c r="O492" s="40"/>
      <c r="P492" s="40"/>
      <c r="Q492" s="41"/>
      <c r="R492" s="41"/>
      <c r="S492" s="41"/>
      <c r="T492" s="21"/>
      <c r="U492" s="21"/>
      <c r="V492" s="42"/>
    </row>
    <row r="493">
      <c r="C493" s="9"/>
      <c r="K493" s="40"/>
      <c r="L493" s="9"/>
      <c r="M493" s="9"/>
      <c r="N493" s="40"/>
      <c r="O493" s="40"/>
      <c r="P493" s="40"/>
      <c r="Q493" s="41"/>
      <c r="R493" s="41"/>
      <c r="S493" s="41"/>
      <c r="T493" s="21"/>
      <c r="U493" s="21"/>
      <c r="V493" s="42"/>
    </row>
    <row r="494">
      <c r="C494" s="9"/>
      <c r="K494" s="40"/>
      <c r="L494" s="9"/>
      <c r="M494" s="9"/>
      <c r="N494" s="40"/>
      <c r="O494" s="40"/>
      <c r="P494" s="40"/>
      <c r="Q494" s="41"/>
      <c r="R494" s="41"/>
      <c r="S494" s="41"/>
      <c r="T494" s="21"/>
      <c r="U494" s="21"/>
      <c r="V494" s="42"/>
    </row>
    <row r="495">
      <c r="C495" s="9"/>
      <c r="K495" s="40"/>
      <c r="L495" s="9"/>
      <c r="M495" s="9"/>
      <c r="N495" s="40"/>
      <c r="O495" s="40"/>
      <c r="P495" s="40"/>
      <c r="Q495" s="41"/>
      <c r="R495" s="41"/>
      <c r="S495" s="41"/>
      <c r="T495" s="21"/>
      <c r="U495" s="21"/>
      <c r="V495" s="42"/>
    </row>
    <row r="496">
      <c r="C496" s="9"/>
      <c r="K496" s="40"/>
      <c r="L496" s="9"/>
      <c r="M496" s="9"/>
      <c r="N496" s="40"/>
      <c r="O496" s="40"/>
      <c r="P496" s="40"/>
      <c r="Q496" s="41"/>
      <c r="R496" s="41"/>
      <c r="S496" s="41"/>
      <c r="T496" s="21"/>
      <c r="U496" s="21"/>
      <c r="V496" s="42"/>
    </row>
    <row r="497">
      <c r="C497" s="9"/>
      <c r="K497" s="40"/>
      <c r="L497" s="9"/>
      <c r="M497" s="9"/>
      <c r="N497" s="40"/>
      <c r="O497" s="40"/>
      <c r="P497" s="40"/>
      <c r="Q497" s="41"/>
      <c r="R497" s="41"/>
      <c r="S497" s="41"/>
      <c r="T497" s="21"/>
      <c r="U497" s="21"/>
      <c r="V497" s="42"/>
    </row>
    <row r="498">
      <c r="C498" s="9"/>
      <c r="K498" s="40"/>
      <c r="L498" s="9"/>
      <c r="M498" s="9"/>
      <c r="N498" s="40"/>
      <c r="O498" s="40"/>
      <c r="P498" s="40"/>
      <c r="Q498" s="41"/>
      <c r="R498" s="41"/>
      <c r="S498" s="41"/>
      <c r="T498" s="21"/>
      <c r="U498" s="21"/>
      <c r="V498" s="42"/>
    </row>
    <row r="499">
      <c r="C499" s="9"/>
      <c r="K499" s="40"/>
      <c r="L499" s="9"/>
      <c r="M499" s="9"/>
      <c r="N499" s="40"/>
      <c r="O499" s="40"/>
      <c r="P499" s="40"/>
      <c r="Q499" s="41"/>
      <c r="R499" s="41"/>
      <c r="S499" s="41"/>
      <c r="T499" s="21"/>
      <c r="U499" s="21"/>
      <c r="V499" s="42"/>
    </row>
    <row r="500">
      <c r="C500" s="9"/>
      <c r="K500" s="40"/>
      <c r="L500" s="9"/>
      <c r="M500" s="9"/>
      <c r="N500" s="40"/>
      <c r="O500" s="40"/>
      <c r="P500" s="40"/>
      <c r="Q500" s="41"/>
      <c r="R500" s="41"/>
      <c r="S500" s="41"/>
      <c r="T500" s="21"/>
      <c r="U500" s="21"/>
      <c r="V500" s="42"/>
    </row>
    <row r="501">
      <c r="C501" s="9"/>
      <c r="K501" s="40"/>
      <c r="L501" s="9"/>
      <c r="M501" s="9"/>
      <c r="N501" s="40"/>
      <c r="O501" s="40"/>
      <c r="P501" s="40"/>
      <c r="Q501" s="41"/>
      <c r="R501" s="41"/>
      <c r="S501" s="41"/>
      <c r="T501" s="21"/>
      <c r="U501" s="21"/>
      <c r="V501" s="42"/>
    </row>
    <row r="502">
      <c r="C502" s="9"/>
      <c r="K502" s="40"/>
      <c r="L502" s="9"/>
      <c r="M502" s="9"/>
      <c r="N502" s="40"/>
      <c r="O502" s="40"/>
      <c r="P502" s="40"/>
      <c r="Q502" s="41"/>
      <c r="R502" s="41"/>
      <c r="S502" s="41"/>
      <c r="T502" s="21"/>
      <c r="U502" s="21"/>
      <c r="V502" s="42"/>
    </row>
    <row r="503">
      <c r="C503" s="9"/>
      <c r="K503" s="40"/>
      <c r="L503" s="9"/>
      <c r="M503" s="9"/>
      <c r="N503" s="40"/>
      <c r="O503" s="40"/>
      <c r="P503" s="40"/>
      <c r="Q503" s="41"/>
      <c r="R503" s="41"/>
      <c r="S503" s="41"/>
      <c r="T503" s="21"/>
      <c r="U503" s="21"/>
      <c r="V503" s="42"/>
    </row>
    <row r="504">
      <c r="C504" s="9"/>
      <c r="K504" s="40"/>
      <c r="L504" s="9"/>
      <c r="M504" s="9"/>
      <c r="N504" s="40"/>
      <c r="O504" s="40"/>
      <c r="P504" s="40"/>
      <c r="Q504" s="41"/>
      <c r="R504" s="41"/>
      <c r="S504" s="41"/>
      <c r="T504" s="21"/>
      <c r="U504" s="21"/>
      <c r="V504" s="42"/>
    </row>
    <row r="505">
      <c r="C505" s="9"/>
      <c r="K505" s="40"/>
      <c r="L505" s="9"/>
      <c r="M505" s="9"/>
      <c r="N505" s="40"/>
      <c r="O505" s="40"/>
      <c r="P505" s="40"/>
      <c r="Q505" s="41"/>
      <c r="R505" s="41"/>
      <c r="S505" s="41"/>
      <c r="T505" s="21"/>
      <c r="U505" s="21"/>
      <c r="V505" s="42"/>
    </row>
    <row r="506">
      <c r="C506" s="9"/>
      <c r="K506" s="40"/>
      <c r="L506" s="9"/>
      <c r="M506" s="9"/>
      <c r="N506" s="40"/>
      <c r="O506" s="40"/>
      <c r="P506" s="40"/>
      <c r="Q506" s="41"/>
      <c r="R506" s="41"/>
      <c r="S506" s="41"/>
      <c r="T506" s="21"/>
      <c r="U506" s="21"/>
      <c r="V506" s="42"/>
    </row>
    <row r="507">
      <c r="C507" s="9"/>
      <c r="K507" s="40"/>
      <c r="L507" s="9"/>
      <c r="M507" s="9"/>
      <c r="N507" s="40"/>
      <c r="O507" s="40"/>
      <c r="P507" s="40"/>
      <c r="Q507" s="41"/>
      <c r="R507" s="41"/>
      <c r="S507" s="41"/>
      <c r="T507" s="21"/>
      <c r="U507" s="21"/>
      <c r="V507" s="42"/>
    </row>
    <row r="508">
      <c r="C508" s="9"/>
      <c r="K508" s="40"/>
      <c r="L508" s="9"/>
      <c r="M508" s="9"/>
      <c r="N508" s="40"/>
      <c r="O508" s="40"/>
      <c r="P508" s="40"/>
      <c r="Q508" s="41"/>
      <c r="R508" s="41"/>
      <c r="S508" s="41"/>
      <c r="T508" s="21"/>
      <c r="U508" s="21"/>
      <c r="V508" s="42"/>
    </row>
    <row r="509">
      <c r="C509" s="9"/>
      <c r="K509" s="40"/>
      <c r="L509" s="9"/>
      <c r="M509" s="9"/>
      <c r="N509" s="40"/>
      <c r="O509" s="40"/>
      <c r="P509" s="40"/>
      <c r="Q509" s="41"/>
      <c r="R509" s="41"/>
      <c r="S509" s="41"/>
      <c r="T509" s="21"/>
      <c r="U509" s="21"/>
      <c r="V509" s="42"/>
    </row>
    <row r="510">
      <c r="C510" s="9"/>
      <c r="K510" s="40"/>
      <c r="L510" s="9"/>
      <c r="M510" s="9"/>
      <c r="N510" s="40"/>
      <c r="O510" s="40"/>
      <c r="P510" s="40"/>
      <c r="Q510" s="41"/>
      <c r="R510" s="41"/>
      <c r="S510" s="41"/>
      <c r="T510" s="21"/>
      <c r="U510" s="21"/>
      <c r="V510" s="42"/>
    </row>
    <row r="511">
      <c r="C511" s="9"/>
      <c r="K511" s="40"/>
      <c r="L511" s="9"/>
      <c r="M511" s="9"/>
      <c r="N511" s="40"/>
      <c r="O511" s="40"/>
      <c r="P511" s="40"/>
      <c r="Q511" s="41"/>
      <c r="R511" s="41"/>
      <c r="S511" s="41"/>
      <c r="T511" s="21"/>
      <c r="U511" s="21"/>
      <c r="V511" s="42"/>
    </row>
    <row r="512">
      <c r="C512" s="9"/>
      <c r="K512" s="40"/>
      <c r="L512" s="9"/>
      <c r="M512" s="9"/>
      <c r="N512" s="40"/>
      <c r="O512" s="40"/>
      <c r="P512" s="40"/>
      <c r="Q512" s="41"/>
      <c r="R512" s="41"/>
      <c r="S512" s="41"/>
      <c r="T512" s="21"/>
      <c r="U512" s="21"/>
      <c r="V512" s="42"/>
    </row>
    <row r="513">
      <c r="C513" s="9"/>
      <c r="K513" s="40"/>
      <c r="L513" s="9"/>
      <c r="M513" s="9"/>
      <c r="N513" s="40"/>
      <c r="O513" s="40"/>
      <c r="P513" s="40"/>
      <c r="Q513" s="41"/>
      <c r="R513" s="41"/>
      <c r="S513" s="41"/>
      <c r="T513" s="21"/>
      <c r="U513" s="21"/>
      <c r="V513" s="42"/>
    </row>
    <row r="514">
      <c r="C514" s="9"/>
      <c r="K514" s="40"/>
      <c r="L514" s="9"/>
      <c r="M514" s="9"/>
      <c r="N514" s="40"/>
      <c r="O514" s="40"/>
      <c r="P514" s="40"/>
      <c r="Q514" s="41"/>
      <c r="R514" s="41"/>
      <c r="S514" s="41"/>
      <c r="T514" s="21"/>
      <c r="U514" s="21"/>
      <c r="V514" s="42"/>
    </row>
    <row r="515">
      <c r="C515" s="9"/>
      <c r="K515" s="40"/>
      <c r="L515" s="9"/>
      <c r="M515" s="9"/>
      <c r="N515" s="40"/>
      <c r="O515" s="40"/>
      <c r="P515" s="40"/>
      <c r="Q515" s="41"/>
      <c r="R515" s="41"/>
      <c r="S515" s="41"/>
      <c r="T515" s="21"/>
      <c r="U515" s="21"/>
      <c r="V515" s="42"/>
    </row>
    <row r="516">
      <c r="C516" s="9"/>
      <c r="K516" s="40"/>
      <c r="L516" s="9"/>
      <c r="M516" s="9"/>
      <c r="N516" s="40"/>
      <c r="O516" s="40"/>
      <c r="P516" s="40"/>
      <c r="Q516" s="41"/>
      <c r="R516" s="41"/>
      <c r="S516" s="41"/>
      <c r="T516" s="21"/>
      <c r="U516" s="21"/>
      <c r="V516" s="42"/>
    </row>
    <row r="517">
      <c r="C517" s="9"/>
      <c r="K517" s="40"/>
      <c r="L517" s="9"/>
      <c r="M517" s="9"/>
      <c r="N517" s="40"/>
      <c r="O517" s="40"/>
      <c r="P517" s="40"/>
      <c r="Q517" s="41"/>
      <c r="R517" s="41"/>
      <c r="S517" s="41"/>
      <c r="T517" s="21"/>
      <c r="U517" s="21"/>
      <c r="V517" s="42"/>
    </row>
    <row r="518">
      <c r="C518" s="9"/>
      <c r="K518" s="40"/>
      <c r="L518" s="9"/>
      <c r="M518" s="9"/>
      <c r="N518" s="40"/>
      <c r="O518" s="40"/>
      <c r="P518" s="40"/>
      <c r="Q518" s="41"/>
      <c r="R518" s="41"/>
      <c r="S518" s="41"/>
      <c r="T518" s="21"/>
      <c r="U518" s="21"/>
      <c r="V518" s="42"/>
    </row>
    <row r="519">
      <c r="C519" s="9"/>
      <c r="K519" s="40"/>
      <c r="L519" s="9"/>
      <c r="M519" s="9"/>
      <c r="N519" s="40"/>
      <c r="O519" s="40"/>
      <c r="P519" s="40"/>
      <c r="Q519" s="41"/>
      <c r="R519" s="41"/>
      <c r="S519" s="41"/>
      <c r="T519" s="21"/>
      <c r="U519" s="21"/>
      <c r="V519" s="42"/>
    </row>
    <row r="520">
      <c r="C520" s="9"/>
      <c r="K520" s="40"/>
      <c r="L520" s="9"/>
      <c r="M520" s="9"/>
      <c r="N520" s="40"/>
      <c r="O520" s="40"/>
      <c r="P520" s="40"/>
      <c r="Q520" s="41"/>
      <c r="R520" s="41"/>
      <c r="S520" s="41"/>
      <c r="T520" s="21"/>
      <c r="U520" s="21"/>
      <c r="V520" s="42"/>
    </row>
    <row r="521">
      <c r="C521" s="9"/>
      <c r="K521" s="40"/>
      <c r="L521" s="9"/>
      <c r="M521" s="9"/>
      <c r="N521" s="40"/>
      <c r="O521" s="40"/>
      <c r="P521" s="40"/>
      <c r="Q521" s="41"/>
      <c r="R521" s="41"/>
      <c r="S521" s="41"/>
      <c r="T521" s="21"/>
      <c r="U521" s="21"/>
      <c r="V521" s="42"/>
    </row>
    <row r="522">
      <c r="C522" s="9"/>
      <c r="K522" s="40"/>
      <c r="L522" s="9"/>
      <c r="M522" s="9"/>
      <c r="N522" s="40"/>
      <c r="O522" s="40"/>
      <c r="P522" s="40"/>
      <c r="Q522" s="41"/>
      <c r="R522" s="41"/>
      <c r="S522" s="41"/>
      <c r="T522" s="21"/>
      <c r="U522" s="21"/>
      <c r="V522" s="42"/>
    </row>
    <row r="523">
      <c r="C523" s="9"/>
      <c r="K523" s="40"/>
      <c r="L523" s="9"/>
      <c r="M523" s="9"/>
      <c r="N523" s="40"/>
      <c r="O523" s="40"/>
      <c r="P523" s="40"/>
      <c r="Q523" s="41"/>
      <c r="R523" s="41"/>
      <c r="S523" s="41"/>
      <c r="T523" s="21"/>
      <c r="U523" s="21"/>
      <c r="V523" s="42"/>
    </row>
    <row r="524">
      <c r="C524" s="9"/>
      <c r="K524" s="40"/>
      <c r="L524" s="9"/>
      <c r="M524" s="9"/>
      <c r="N524" s="40"/>
      <c r="O524" s="40"/>
      <c r="P524" s="40"/>
      <c r="Q524" s="41"/>
      <c r="R524" s="41"/>
      <c r="S524" s="41"/>
      <c r="T524" s="21"/>
      <c r="U524" s="21"/>
      <c r="V524" s="42"/>
    </row>
    <row r="525">
      <c r="C525" s="9"/>
      <c r="K525" s="40"/>
      <c r="L525" s="9"/>
      <c r="M525" s="9"/>
      <c r="N525" s="40"/>
      <c r="O525" s="40"/>
      <c r="P525" s="40"/>
      <c r="Q525" s="41"/>
      <c r="R525" s="41"/>
      <c r="S525" s="41"/>
      <c r="T525" s="21"/>
      <c r="U525" s="21"/>
      <c r="V525" s="42"/>
    </row>
    <row r="526">
      <c r="C526" s="9"/>
      <c r="K526" s="40"/>
      <c r="L526" s="9"/>
      <c r="M526" s="9"/>
      <c r="N526" s="40"/>
      <c r="O526" s="40"/>
      <c r="P526" s="40"/>
      <c r="Q526" s="41"/>
      <c r="R526" s="41"/>
      <c r="S526" s="41"/>
      <c r="T526" s="21"/>
      <c r="U526" s="21"/>
      <c r="V526" s="42"/>
    </row>
    <row r="527">
      <c r="C527" s="9"/>
      <c r="K527" s="40"/>
      <c r="L527" s="9"/>
      <c r="M527" s="9"/>
      <c r="N527" s="40"/>
      <c r="O527" s="40"/>
      <c r="P527" s="40"/>
      <c r="Q527" s="41"/>
      <c r="R527" s="41"/>
      <c r="S527" s="41"/>
      <c r="T527" s="21"/>
      <c r="U527" s="21"/>
      <c r="V527" s="42"/>
    </row>
    <row r="528">
      <c r="C528" s="9"/>
      <c r="K528" s="40"/>
      <c r="L528" s="9"/>
      <c r="M528" s="9"/>
      <c r="N528" s="40"/>
      <c r="O528" s="40"/>
      <c r="P528" s="40"/>
      <c r="Q528" s="41"/>
      <c r="R528" s="41"/>
      <c r="S528" s="41"/>
      <c r="T528" s="21"/>
      <c r="U528" s="21"/>
      <c r="V528" s="42"/>
    </row>
    <row r="529">
      <c r="C529" s="9"/>
      <c r="K529" s="40"/>
      <c r="L529" s="9"/>
      <c r="M529" s="9"/>
      <c r="N529" s="40"/>
      <c r="O529" s="40"/>
      <c r="P529" s="40"/>
      <c r="Q529" s="41"/>
      <c r="R529" s="41"/>
      <c r="S529" s="41"/>
      <c r="T529" s="21"/>
      <c r="U529" s="21"/>
      <c r="V529" s="42"/>
    </row>
    <row r="530">
      <c r="C530" s="9"/>
      <c r="K530" s="40"/>
      <c r="L530" s="9"/>
      <c r="M530" s="9"/>
      <c r="N530" s="40"/>
      <c r="O530" s="40"/>
      <c r="P530" s="40"/>
      <c r="Q530" s="41"/>
      <c r="R530" s="41"/>
      <c r="S530" s="41"/>
      <c r="T530" s="21"/>
      <c r="U530" s="21"/>
      <c r="V530" s="42"/>
    </row>
    <row r="531">
      <c r="C531" s="9"/>
      <c r="K531" s="40"/>
      <c r="L531" s="9"/>
      <c r="M531" s="9"/>
      <c r="N531" s="40"/>
      <c r="O531" s="40"/>
      <c r="P531" s="40"/>
      <c r="Q531" s="41"/>
      <c r="R531" s="41"/>
      <c r="S531" s="41"/>
      <c r="T531" s="21"/>
      <c r="U531" s="21"/>
      <c r="V531" s="42"/>
    </row>
    <row r="532">
      <c r="C532" s="9"/>
      <c r="K532" s="40"/>
      <c r="L532" s="9"/>
      <c r="M532" s="9"/>
      <c r="N532" s="40"/>
      <c r="O532" s="40"/>
      <c r="P532" s="40"/>
      <c r="Q532" s="41"/>
      <c r="R532" s="41"/>
      <c r="S532" s="41"/>
      <c r="T532" s="21"/>
      <c r="U532" s="21"/>
      <c r="V532" s="42"/>
    </row>
    <row r="533">
      <c r="C533" s="9"/>
      <c r="K533" s="40"/>
      <c r="L533" s="9"/>
      <c r="M533" s="9"/>
      <c r="N533" s="40"/>
      <c r="O533" s="40"/>
      <c r="P533" s="40"/>
      <c r="Q533" s="41"/>
      <c r="R533" s="41"/>
      <c r="S533" s="41"/>
      <c r="T533" s="21"/>
      <c r="U533" s="21"/>
      <c r="V533" s="42"/>
    </row>
    <row r="534">
      <c r="C534" s="9"/>
      <c r="K534" s="40"/>
      <c r="L534" s="9"/>
      <c r="M534" s="9"/>
      <c r="N534" s="40"/>
      <c r="O534" s="40"/>
      <c r="P534" s="40"/>
      <c r="Q534" s="41"/>
      <c r="R534" s="41"/>
      <c r="S534" s="41"/>
      <c r="T534" s="21"/>
      <c r="U534" s="21"/>
      <c r="V534" s="42"/>
    </row>
    <row r="535">
      <c r="C535" s="9"/>
      <c r="K535" s="40"/>
      <c r="L535" s="9"/>
      <c r="M535" s="9"/>
      <c r="N535" s="40"/>
      <c r="O535" s="40"/>
      <c r="P535" s="40"/>
      <c r="Q535" s="41"/>
      <c r="R535" s="41"/>
      <c r="S535" s="41"/>
      <c r="T535" s="21"/>
      <c r="U535" s="21"/>
      <c r="V535" s="42"/>
    </row>
    <row r="536">
      <c r="C536" s="9"/>
      <c r="K536" s="40"/>
      <c r="L536" s="9"/>
      <c r="M536" s="9"/>
      <c r="N536" s="40"/>
      <c r="O536" s="40"/>
      <c r="P536" s="40"/>
      <c r="Q536" s="41"/>
      <c r="R536" s="41"/>
      <c r="S536" s="41"/>
      <c r="T536" s="21"/>
      <c r="U536" s="21"/>
      <c r="V536" s="42"/>
    </row>
    <row r="537">
      <c r="C537" s="9"/>
      <c r="K537" s="40"/>
      <c r="L537" s="9"/>
      <c r="M537" s="9"/>
      <c r="N537" s="40"/>
      <c r="O537" s="40"/>
      <c r="P537" s="40"/>
      <c r="Q537" s="41"/>
      <c r="R537" s="41"/>
      <c r="S537" s="41"/>
      <c r="T537" s="21"/>
      <c r="U537" s="21"/>
      <c r="V537" s="42"/>
    </row>
    <row r="538">
      <c r="C538" s="9"/>
      <c r="K538" s="40"/>
      <c r="L538" s="9"/>
      <c r="M538" s="9"/>
      <c r="N538" s="40"/>
      <c r="O538" s="40"/>
      <c r="P538" s="40"/>
      <c r="Q538" s="41"/>
      <c r="R538" s="41"/>
      <c r="S538" s="41"/>
      <c r="T538" s="21"/>
      <c r="U538" s="21"/>
      <c r="V538" s="42"/>
    </row>
    <row r="539">
      <c r="C539" s="9"/>
      <c r="K539" s="40"/>
      <c r="L539" s="9"/>
      <c r="M539" s="9"/>
      <c r="N539" s="40"/>
      <c r="O539" s="40"/>
      <c r="P539" s="40"/>
      <c r="Q539" s="41"/>
      <c r="R539" s="41"/>
      <c r="S539" s="41"/>
      <c r="T539" s="21"/>
      <c r="U539" s="21"/>
      <c r="V539" s="42"/>
    </row>
    <row r="540">
      <c r="C540" s="9"/>
      <c r="K540" s="40"/>
      <c r="L540" s="9"/>
      <c r="M540" s="9"/>
      <c r="N540" s="40"/>
      <c r="O540" s="40"/>
      <c r="P540" s="40"/>
      <c r="Q540" s="41"/>
      <c r="R540" s="41"/>
      <c r="S540" s="41"/>
      <c r="T540" s="21"/>
      <c r="U540" s="21"/>
      <c r="V540" s="42"/>
    </row>
    <row r="541">
      <c r="C541" s="9"/>
      <c r="K541" s="40"/>
      <c r="L541" s="9"/>
      <c r="M541" s="9"/>
      <c r="N541" s="40"/>
      <c r="O541" s="40"/>
      <c r="P541" s="40"/>
      <c r="Q541" s="41"/>
      <c r="R541" s="41"/>
      <c r="S541" s="41"/>
      <c r="T541" s="21"/>
      <c r="U541" s="21"/>
      <c r="V541" s="42"/>
    </row>
    <row r="542">
      <c r="C542" s="9"/>
      <c r="K542" s="40"/>
      <c r="L542" s="9"/>
      <c r="M542" s="9"/>
      <c r="N542" s="40"/>
      <c r="O542" s="40"/>
      <c r="P542" s="40"/>
      <c r="Q542" s="41"/>
      <c r="R542" s="41"/>
      <c r="S542" s="41"/>
      <c r="T542" s="21"/>
      <c r="U542" s="21"/>
      <c r="V542" s="42"/>
    </row>
    <row r="543">
      <c r="C543" s="9"/>
      <c r="K543" s="40"/>
      <c r="L543" s="9"/>
      <c r="M543" s="9"/>
      <c r="N543" s="40"/>
      <c r="O543" s="40"/>
      <c r="P543" s="40"/>
      <c r="Q543" s="41"/>
      <c r="R543" s="41"/>
      <c r="S543" s="41"/>
      <c r="T543" s="21"/>
      <c r="U543" s="21"/>
      <c r="V543" s="42"/>
    </row>
    <row r="544">
      <c r="C544" s="9"/>
      <c r="K544" s="40"/>
      <c r="L544" s="9"/>
      <c r="M544" s="9"/>
      <c r="N544" s="40"/>
      <c r="O544" s="40"/>
      <c r="P544" s="40"/>
      <c r="Q544" s="41"/>
      <c r="R544" s="41"/>
      <c r="S544" s="41"/>
      <c r="T544" s="21"/>
      <c r="U544" s="21"/>
      <c r="V544" s="42"/>
    </row>
    <row r="545">
      <c r="C545" s="9"/>
      <c r="K545" s="40"/>
      <c r="L545" s="9"/>
      <c r="M545" s="9"/>
      <c r="N545" s="40"/>
      <c r="O545" s="40"/>
      <c r="P545" s="40"/>
      <c r="Q545" s="41"/>
      <c r="R545" s="41"/>
      <c r="S545" s="41"/>
      <c r="T545" s="21"/>
      <c r="U545" s="21"/>
      <c r="V545" s="42"/>
    </row>
    <row r="546">
      <c r="C546" s="9"/>
      <c r="K546" s="40"/>
      <c r="L546" s="9"/>
      <c r="M546" s="9"/>
      <c r="N546" s="40"/>
      <c r="O546" s="40"/>
      <c r="P546" s="40"/>
      <c r="Q546" s="41"/>
      <c r="R546" s="41"/>
      <c r="S546" s="41"/>
      <c r="T546" s="21"/>
      <c r="U546" s="21"/>
      <c r="V546" s="42"/>
    </row>
    <row r="547">
      <c r="C547" s="9"/>
      <c r="K547" s="40"/>
      <c r="L547" s="9"/>
      <c r="M547" s="9"/>
      <c r="N547" s="40"/>
      <c r="O547" s="40"/>
      <c r="P547" s="40"/>
      <c r="Q547" s="41"/>
      <c r="R547" s="41"/>
      <c r="S547" s="41"/>
      <c r="T547" s="21"/>
      <c r="U547" s="21"/>
      <c r="V547" s="42"/>
    </row>
    <row r="548">
      <c r="C548" s="9"/>
      <c r="K548" s="40"/>
      <c r="L548" s="9"/>
      <c r="M548" s="9"/>
      <c r="N548" s="40"/>
      <c r="O548" s="40"/>
      <c r="P548" s="40"/>
      <c r="Q548" s="41"/>
      <c r="R548" s="41"/>
      <c r="S548" s="41"/>
      <c r="T548" s="21"/>
      <c r="U548" s="21"/>
      <c r="V548" s="42"/>
    </row>
    <row r="549">
      <c r="C549" s="9"/>
      <c r="K549" s="40"/>
      <c r="L549" s="9"/>
      <c r="M549" s="9"/>
      <c r="N549" s="40"/>
      <c r="O549" s="40"/>
      <c r="P549" s="40"/>
      <c r="Q549" s="41"/>
      <c r="R549" s="41"/>
      <c r="S549" s="41"/>
      <c r="T549" s="21"/>
      <c r="U549" s="21"/>
      <c r="V549" s="42"/>
    </row>
    <row r="550">
      <c r="C550" s="9"/>
      <c r="K550" s="40"/>
      <c r="L550" s="9"/>
      <c r="M550" s="9"/>
      <c r="N550" s="40"/>
      <c r="O550" s="40"/>
      <c r="P550" s="40"/>
      <c r="Q550" s="41"/>
      <c r="R550" s="41"/>
      <c r="S550" s="41"/>
      <c r="T550" s="21"/>
      <c r="U550" s="21"/>
      <c r="V550" s="42"/>
    </row>
    <row r="551">
      <c r="C551" s="9"/>
      <c r="K551" s="40"/>
      <c r="L551" s="9"/>
      <c r="M551" s="9"/>
      <c r="N551" s="40"/>
      <c r="O551" s="40"/>
      <c r="P551" s="40"/>
      <c r="Q551" s="41"/>
      <c r="R551" s="41"/>
      <c r="S551" s="41"/>
      <c r="T551" s="21"/>
      <c r="U551" s="21"/>
      <c r="V551" s="42"/>
    </row>
    <row r="552">
      <c r="C552" s="9"/>
      <c r="K552" s="40"/>
      <c r="L552" s="9"/>
      <c r="M552" s="9"/>
      <c r="N552" s="40"/>
      <c r="O552" s="40"/>
      <c r="P552" s="40"/>
      <c r="Q552" s="41"/>
      <c r="R552" s="41"/>
      <c r="S552" s="41"/>
      <c r="T552" s="21"/>
      <c r="U552" s="21"/>
      <c r="V552" s="42"/>
    </row>
    <row r="553">
      <c r="C553" s="9"/>
      <c r="K553" s="40"/>
      <c r="L553" s="9"/>
      <c r="M553" s="9"/>
      <c r="N553" s="40"/>
      <c r="O553" s="40"/>
      <c r="P553" s="40"/>
      <c r="Q553" s="41"/>
      <c r="R553" s="41"/>
      <c r="S553" s="41"/>
      <c r="T553" s="21"/>
      <c r="U553" s="21"/>
      <c r="V553" s="42"/>
    </row>
    <row r="554">
      <c r="C554" s="9"/>
      <c r="K554" s="40"/>
      <c r="L554" s="9"/>
      <c r="M554" s="9"/>
      <c r="N554" s="40"/>
      <c r="O554" s="40"/>
      <c r="P554" s="40"/>
      <c r="Q554" s="41"/>
      <c r="R554" s="41"/>
      <c r="S554" s="41"/>
      <c r="T554" s="21"/>
      <c r="U554" s="21"/>
      <c r="V554" s="42"/>
    </row>
    <row r="555">
      <c r="C555" s="9"/>
      <c r="K555" s="40"/>
      <c r="L555" s="9"/>
      <c r="M555" s="9"/>
      <c r="N555" s="40"/>
      <c r="O555" s="40"/>
      <c r="P555" s="40"/>
      <c r="Q555" s="41"/>
      <c r="R555" s="41"/>
      <c r="S555" s="41"/>
      <c r="T555" s="21"/>
      <c r="U555" s="21"/>
      <c r="V555" s="42"/>
    </row>
    <row r="556">
      <c r="C556" s="9"/>
      <c r="K556" s="40"/>
      <c r="L556" s="9"/>
      <c r="M556" s="9"/>
      <c r="N556" s="40"/>
      <c r="O556" s="40"/>
      <c r="P556" s="40"/>
      <c r="Q556" s="41"/>
      <c r="R556" s="41"/>
      <c r="S556" s="41"/>
      <c r="T556" s="21"/>
      <c r="U556" s="21"/>
      <c r="V556" s="42"/>
    </row>
    <row r="557">
      <c r="C557" s="9"/>
      <c r="K557" s="40"/>
      <c r="L557" s="9"/>
      <c r="M557" s="9"/>
      <c r="N557" s="40"/>
      <c r="O557" s="40"/>
      <c r="P557" s="40"/>
      <c r="Q557" s="41"/>
      <c r="R557" s="41"/>
      <c r="S557" s="41"/>
      <c r="T557" s="21"/>
      <c r="U557" s="21"/>
      <c r="V557" s="42"/>
    </row>
    <row r="558">
      <c r="C558" s="9"/>
      <c r="K558" s="40"/>
      <c r="L558" s="9"/>
      <c r="M558" s="9"/>
      <c r="N558" s="40"/>
      <c r="O558" s="40"/>
      <c r="P558" s="40"/>
      <c r="Q558" s="41"/>
      <c r="R558" s="41"/>
      <c r="S558" s="41"/>
      <c r="T558" s="21"/>
      <c r="U558" s="21"/>
      <c r="V558" s="42"/>
    </row>
    <row r="559">
      <c r="C559" s="9"/>
      <c r="K559" s="40"/>
      <c r="L559" s="9"/>
      <c r="M559" s="9"/>
      <c r="N559" s="40"/>
      <c r="O559" s="40"/>
      <c r="P559" s="40"/>
      <c r="Q559" s="41"/>
      <c r="R559" s="41"/>
      <c r="S559" s="41"/>
      <c r="T559" s="21"/>
      <c r="U559" s="21"/>
      <c r="V559" s="42"/>
    </row>
    <row r="560">
      <c r="C560" s="9"/>
      <c r="K560" s="40"/>
      <c r="L560" s="9"/>
      <c r="M560" s="9"/>
      <c r="N560" s="40"/>
      <c r="O560" s="40"/>
      <c r="P560" s="40"/>
      <c r="Q560" s="41"/>
      <c r="R560" s="41"/>
      <c r="S560" s="41"/>
      <c r="T560" s="21"/>
      <c r="U560" s="21"/>
      <c r="V560" s="42"/>
    </row>
    <row r="561">
      <c r="C561" s="9"/>
      <c r="K561" s="40"/>
      <c r="L561" s="9"/>
      <c r="M561" s="9"/>
      <c r="N561" s="40"/>
      <c r="O561" s="40"/>
      <c r="P561" s="40"/>
      <c r="Q561" s="41"/>
      <c r="R561" s="41"/>
      <c r="S561" s="41"/>
      <c r="T561" s="21"/>
      <c r="U561" s="21"/>
      <c r="V561" s="42"/>
    </row>
    <row r="562">
      <c r="C562" s="9"/>
      <c r="K562" s="40"/>
      <c r="L562" s="9"/>
      <c r="M562" s="9"/>
      <c r="N562" s="40"/>
      <c r="O562" s="40"/>
      <c r="P562" s="40"/>
      <c r="Q562" s="41"/>
      <c r="R562" s="41"/>
      <c r="S562" s="41"/>
      <c r="T562" s="21"/>
      <c r="U562" s="21"/>
      <c r="V562" s="42"/>
    </row>
    <row r="563">
      <c r="C563" s="9"/>
      <c r="K563" s="40"/>
      <c r="L563" s="9"/>
      <c r="M563" s="9"/>
      <c r="N563" s="40"/>
      <c r="O563" s="40"/>
      <c r="P563" s="40"/>
      <c r="Q563" s="41"/>
      <c r="R563" s="41"/>
      <c r="S563" s="41"/>
      <c r="T563" s="21"/>
      <c r="U563" s="21"/>
      <c r="V563" s="42"/>
    </row>
    <row r="564">
      <c r="C564" s="9"/>
      <c r="K564" s="40"/>
      <c r="L564" s="9"/>
      <c r="M564" s="9"/>
      <c r="N564" s="40"/>
      <c r="O564" s="40"/>
      <c r="P564" s="40"/>
      <c r="Q564" s="41"/>
      <c r="R564" s="41"/>
      <c r="S564" s="41"/>
      <c r="T564" s="21"/>
      <c r="U564" s="21"/>
      <c r="V564" s="42"/>
    </row>
    <row r="565">
      <c r="C565" s="9"/>
      <c r="K565" s="40"/>
      <c r="L565" s="9"/>
      <c r="M565" s="9"/>
      <c r="N565" s="40"/>
      <c r="O565" s="40"/>
      <c r="P565" s="40"/>
      <c r="Q565" s="41"/>
      <c r="R565" s="41"/>
      <c r="S565" s="41"/>
      <c r="T565" s="21"/>
      <c r="U565" s="21"/>
      <c r="V565" s="42"/>
    </row>
    <row r="566">
      <c r="C566" s="9"/>
      <c r="K566" s="40"/>
      <c r="L566" s="9"/>
      <c r="M566" s="9"/>
      <c r="N566" s="40"/>
      <c r="O566" s="40"/>
      <c r="P566" s="40"/>
      <c r="Q566" s="41"/>
      <c r="R566" s="41"/>
      <c r="S566" s="41"/>
      <c r="T566" s="21"/>
      <c r="U566" s="21"/>
      <c r="V566" s="42"/>
    </row>
    <row r="567">
      <c r="C567" s="9"/>
      <c r="K567" s="40"/>
      <c r="L567" s="9"/>
      <c r="M567" s="9"/>
      <c r="N567" s="40"/>
      <c r="O567" s="40"/>
      <c r="P567" s="40"/>
      <c r="Q567" s="41"/>
      <c r="R567" s="41"/>
      <c r="S567" s="41"/>
      <c r="T567" s="21"/>
      <c r="U567" s="21"/>
      <c r="V567" s="42"/>
    </row>
    <row r="568">
      <c r="C568" s="9"/>
      <c r="K568" s="40"/>
      <c r="L568" s="9"/>
      <c r="M568" s="9"/>
      <c r="N568" s="40"/>
      <c r="O568" s="40"/>
      <c r="P568" s="40"/>
      <c r="Q568" s="41"/>
      <c r="R568" s="41"/>
      <c r="S568" s="41"/>
      <c r="T568" s="21"/>
      <c r="U568" s="21"/>
      <c r="V568" s="42"/>
    </row>
    <row r="569">
      <c r="C569" s="9"/>
      <c r="K569" s="40"/>
      <c r="L569" s="9"/>
      <c r="M569" s="9"/>
      <c r="N569" s="40"/>
      <c r="O569" s="40"/>
      <c r="P569" s="40"/>
      <c r="Q569" s="41"/>
      <c r="R569" s="41"/>
      <c r="S569" s="41"/>
      <c r="T569" s="21"/>
      <c r="U569" s="21"/>
      <c r="V569" s="42"/>
    </row>
    <row r="570">
      <c r="C570" s="9"/>
      <c r="K570" s="40"/>
      <c r="L570" s="9"/>
      <c r="M570" s="9"/>
      <c r="N570" s="40"/>
      <c r="O570" s="40"/>
      <c r="P570" s="40"/>
      <c r="Q570" s="41"/>
      <c r="R570" s="41"/>
      <c r="S570" s="41"/>
      <c r="T570" s="21"/>
      <c r="U570" s="21"/>
      <c r="V570" s="42"/>
    </row>
    <row r="571">
      <c r="C571" s="9"/>
      <c r="K571" s="40"/>
      <c r="L571" s="9"/>
      <c r="M571" s="9"/>
      <c r="N571" s="40"/>
      <c r="O571" s="40"/>
      <c r="P571" s="40"/>
      <c r="Q571" s="41"/>
      <c r="R571" s="41"/>
      <c r="S571" s="41"/>
      <c r="T571" s="21"/>
      <c r="U571" s="21"/>
      <c r="V571" s="42"/>
    </row>
    <row r="572">
      <c r="C572" s="9"/>
      <c r="K572" s="40"/>
      <c r="L572" s="9"/>
      <c r="M572" s="9"/>
      <c r="N572" s="40"/>
      <c r="O572" s="40"/>
      <c r="P572" s="40"/>
      <c r="Q572" s="41"/>
      <c r="R572" s="41"/>
      <c r="S572" s="41"/>
      <c r="T572" s="21"/>
      <c r="U572" s="21"/>
      <c r="V572" s="42"/>
    </row>
    <row r="573">
      <c r="C573" s="9"/>
      <c r="K573" s="40"/>
      <c r="L573" s="9"/>
      <c r="M573" s="9"/>
      <c r="N573" s="40"/>
      <c r="O573" s="40"/>
      <c r="P573" s="40"/>
      <c r="Q573" s="41"/>
      <c r="R573" s="41"/>
      <c r="S573" s="41"/>
      <c r="T573" s="21"/>
      <c r="U573" s="21"/>
      <c r="V573" s="42"/>
    </row>
    <row r="574">
      <c r="C574" s="9"/>
      <c r="K574" s="40"/>
      <c r="L574" s="9"/>
      <c r="M574" s="9"/>
      <c r="N574" s="40"/>
      <c r="O574" s="40"/>
      <c r="P574" s="40"/>
      <c r="Q574" s="41"/>
      <c r="R574" s="41"/>
      <c r="S574" s="41"/>
      <c r="T574" s="21"/>
      <c r="U574" s="21"/>
      <c r="V574" s="42"/>
    </row>
    <row r="575">
      <c r="C575" s="9"/>
      <c r="K575" s="40"/>
      <c r="L575" s="9"/>
      <c r="M575" s="9"/>
      <c r="N575" s="40"/>
      <c r="O575" s="40"/>
      <c r="P575" s="40"/>
      <c r="Q575" s="41"/>
      <c r="R575" s="41"/>
      <c r="S575" s="41"/>
      <c r="T575" s="21"/>
      <c r="U575" s="21"/>
      <c r="V575" s="42"/>
    </row>
    <row r="576">
      <c r="C576" s="9"/>
      <c r="K576" s="40"/>
      <c r="L576" s="9"/>
      <c r="M576" s="9"/>
      <c r="N576" s="40"/>
      <c r="O576" s="40"/>
      <c r="P576" s="40"/>
      <c r="Q576" s="41"/>
      <c r="R576" s="41"/>
      <c r="S576" s="41"/>
      <c r="T576" s="21"/>
      <c r="U576" s="21"/>
      <c r="V576" s="42"/>
    </row>
    <row r="577">
      <c r="C577" s="9"/>
      <c r="K577" s="40"/>
      <c r="L577" s="9"/>
      <c r="M577" s="9"/>
      <c r="N577" s="40"/>
      <c r="O577" s="40"/>
      <c r="P577" s="40"/>
      <c r="Q577" s="41"/>
      <c r="R577" s="41"/>
      <c r="S577" s="41"/>
      <c r="T577" s="21"/>
      <c r="U577" s="21"/>
      <c r="V577" s="42"/>
    </row>
    <row r="578">
      <c r="C578" s="9"/>
      <c r="K578" s="40"/>
      <c r="L578" s="9"/>
      <c r="M578" s="9"/>
      <c r="N578" s="40"/>
      <c r="O578" s="40"/>
      <c r="P578" s="40"/>
      <c r="Q578" s="41"/>
      <c r="R578" s="41"/>
      <c r="S578" s="41"/>
      <c r="T578" s="21"/>
      <c r="U578" s="21"/>
      <c r="V578" s="42"/>
    </row>
    <row r="579">
      <c r="C579" s="9"/>
      <c r="K579" s="40"/>
      <c r="L579" s="9"/>
      <c r="M579" s="9"/>
      <c r="N579" s="40"/>
      <c r="O579" s="40"/>
      <c r="P579" s="40"/>
      <c r="Q579" s="41"/>
      <c r="R579" s="41"/>
      <c r="S579" s="41"/>
      <c r="T579" s="21"/>
      <c r="U579" s="21"/>
      <c r="V579" s="42"/>
    </row>
    <row r="580">
      <c r="C580" s="9"/>
      <c r="K580" s="40"/>
      <c r="L580" s="9"/>
      <c r="M580" s="9"/>
      <c r="N580" s="40"/>
      <c r="O580" s="40"/>
      <c r="P580" s="40"/>
      <c r="Q580" s="41"/>
      <c r="R580" s="41"/>
      <c r="S580" s="41"/>
      <c r="T580" s="21"/>
      <c r="U580" s="21"/>
      <c r="V580" s="42"/>
    </row>
    <row r="581">
      <c r="C581" s="9"/>
      <c r="K581" s="40"/>
      <c r="L581" s="9"/>
      <c r="M581" s="9"/>
      <c r="N581" s="40"/>
      <c r="O581" s="40"/>
      <c r="P581" s="40"/>
      <c r="Q581" s="41"/>
      <c r="R581" s="41"/>
      <c r="S581" s="41"/>
      <c r="T581" s="21"/>
      <c r="U581" s="21"/>
      <c r="V581" s="42"/>
    </row>
    <row r="582">
      <c r="C582" s="9"/>
      <c r="K582" s="40"/>
      <c r="L582" s="9"/>
      <c r="M582" s="9"/>
      <c r="N582" s="40"/>
      <c r="O582" s="40"/>
      <c r="P582" s="40"/>
      <c r="Q582" s="41"/>
      <c r="R582" s="41"/>
      <c r="S582" s="41"/>
      <c r="T582" s="21"/>
      <c r="U582" s="21"/>
      <c r="V582" s="42"/>
    </row>
    <row r="583">
      <c r="C583" s="9"/>
      <c r="K583" s="40"/>
      <c r="L583" s="9"/>
      <c r="M583" s="9"/>
      <c r="N583" s="40"/>
      <c r="O583" s="40"/>
      <c r="P583" s="40"/>
      <c r="Q583" s="41"/>
      <c r="R583" s="41"/>
      <c r="S583" s="41"/>
      <c r="T583" s="21"/>
      <c r="U583" s="21"/>
      <c r="V583" s="42"/>
    </row>
    <row r="584">
      <c r="C584" s="9"/>
      <c r="K584" s="40"/>
      <c r="L584" s="9"/>
      <c r="M584" s="9"/>
      <c r="N584" s="40"/>
      <c r="O584" s="40"/>
      <c r="P584" s="40"/>
      <c r="Q584" s="41"/>
      <c r="R584" s="41"/>
      <c r="S584" s="41"/>
      <c r="T584" s="21"/>
      <c r="U584" s="21"/>
      <c r="V584" s="42"/>
    </row>
    <row r="585">
      <c r="C585" s="9"/>
      <c r="K585" s="40"/>
      <c r="L585" s="9"/>
      <c r="M585" s="9"/>
      <c r="N585" s="40"/>
      <c r="O585" s="40"/>
      <c r="P585" s="40"/>
      <c r="Q585" s="41"/>
      <c r="R585" s="41"/>
      <c r="S585" s="41"/>
      <c r="T585" s="21"/>
      <c r="U585" s="21"/>
      <c r="V585" s="42"/>
    </row>
    <row r="586">
      <c r="C586" s="9"/>
      <c r="K586" s="40"/>
      <c r="L586" s="9"/>
      <c r="M586" s="9"/>
      <c r="N586" s="40"/>
      <c r="O586" s="40"/>
      <c r="P586" s="40"/>
      <c r="Q586" s="41"/>
      <c r="R586" s="41"/>
      <c r="S586" s="41"/>
      <c r="T586" s="21"/>
      <c r="U586" s="21"/>
      <c r="V586" s="42"/>
    </row>
    <row r="587">
      <c r="C587" s="9"/>
      <c r="K587" s="40"/>
      <c r="L587" s="9"/>
      <c r="M587" s="9"/>
      <c r="N587" s="40"/>
      <c r="O587" s="40"/>
      <c r="P587" s="40"/>
      <c r="Q587" s="41"/>
      <c r="R587" s="41"/>
      <c r="S587" s="41"/>
      <c r="T587" s="21"/>
      <c r="U587" s="21"/>
      <c r="V587" s="42"/>
    </row>
    <row r="588">
      <c r="C588" s="9"/>
      <c r="K588" s="40"/>
      <c r="L588" s="9"/>
      <c r="M588" s="9"/>
      <c r="N588" s="40"/>
      <c r="O588" s="40"/>
      <c r="P588" s="40"/>
      <c r="Q588" s="41"/>
      <c r="R588" s="41"/>
      <c r="S588" s="41"/>
      <c r="T588" s="21"/>
      <c r="U588" s="21"/>
      <c r="V588" s="42"/>
    </row>
    <row r="589">
      <c r="C589" s="9"/>
      <c r="K589" s="40"/>
      <c r="L589" s="9"/>
      <c r="M589" s="9"/>
      <c r="N589" s="40"/>
      <c r="O589" s="40"/>
      <c r="P589" s="40"/>
      <c r="Q589" s="41"/>
      <c r="R589" s="41"/>
      <c r="S589" s="41"/>
      <c r="T589" s="21"/>
      <c r="U589" s="21"/>
      <c r="V589" s="42"/>
    </row>
    <row r="590">
      <c r="C590" s="9"/>
      <c r="K590" s="40"/>
      <c r="L590" s="9"/>
      <c r="M590" s="9"/>
      <c r="N590" s="40"/>
      <c r="O590" s="40"/>
      <c r="P590" s="40"/>
      <c r="Q590" s="41"/>
      <c r="R590" s="41"/>
      <c r="S590" s="41"/>
      <c r="T590" s="21"/>
      <c r="U590" s="21"/>
      <c r="V590" s="42"/>
    </row>
    <row r="591">
      <c r="C591" s="9"/>
      <c r="K591" s="40"/>
      <c r="L591" s="9"/>
      <c r="M591" s="9"/>
      <c r="N591" s="40"/>
      <c r="O591" s="40"/>
      <c r="P591" s="40"/>
      <c r="Q591" s="41"/>
      <c r="R591" s="41"/>
      <c r="S591" s="41"/>
      <c r="T591" s="21"/>
      <c r="U591" s="21"/>
      <c r="V591" s="42"/>
    </row>
    <row r="592">
      <c r="C592" s="9"/>
      <c r="K592" s="40"/>
      <c r="L592" s="9"/>
      <c r="M592" s="9"/>
      <c r="N592" s="40"/>
      <c r="O592" s="40"/>
      <c r="P592" s="40"/>
      <c r="Q592" s="41"/>
      <c r="R592" s="41"/>
      <c r="S592" s="41"/>
      <c r="T592" s="21"/>
      <c r="U592" s="21"/>
      <c r="V592" s="42"/>
    </row>
    <row r="593">
      <c r="C593" s="9"/>
      <c r="K593" s="40"/>
      <c r="L593" s="9"/>
      <c r="M593" s="9"/>
      <c r="N593" s="40"/>
      <c r="O593" s="40"/>
      <c r="P593" s="40"/>
      <c r="Q593" s="41"/>
      <c r="R593" s="41"/>
      <c r="S593" s="41"/>
      <c r="T593" s="21"/>
      <c r="U593" s="21"/>
      <c r="V593" s="42"/>
    </row>
    <row r="594">
      <c r="C594" s="9"/>
      <c r="K594" s="40"/>
      <c r="L594" s="9"/>
      <c r="M594" s="9"/>
      <c r="N594" s="40"/>
      <c r="O594" s="40"/>
      <c r="P594" s="40"/>
      <c r="Q594" s="41"/>
      <c r="R594" s="41"/>
      <c r="S594" s="41"/>
      <c r="T594" s="21"/>
      <c r="U594" s="21"/>
      <c r="V594" s="42"/>
    </row>
    <row r="595">
      <c r="C595" s="9"/>
      <c r="K595" s="40"/>
      <c r="L595" s="9"/>
      <c r="M595" s="9"/>
      <c r="N595" s="40"/>
      <c r="O595" s="40"/>
      <c r="P595" s="40"/>
      <c r="Q595" s="41"/>
      <c r="R595" s="41"/>
      <c r="S595" s="41"/>
      <c r="T595" s="21"/>
      <c r="U595" s="21"/>
      <c r="V595" s="42"/>
    </row>
    <row r="596">
      <c r="C596" s="9"/>
      <c r="K596" s="40"/>
      <c r="L596" s="9"/>
      <c r="M596" s="9"/>
      <c r="N596" s="40"/>
      <c r="O596" s="40"/>
      <c r="P596" s="40"/>
      <c r="Q596" s="41"/>
      <c r="R596" s="41"/>
      <c r="S596" s="41"/>
      <c r="T596" s="21"/>
      <c r="U596" s="21"/>
      <c r="V596" s="42"/>
    </row>
    <row r="597">
      <c r="C597" s="9"/>
      <c r="K597" s="40"/>
      <c r="L597" s="9"/>
      <c r="M597" s="9"/>
      <c r="N597" s="40"/>
      <c r="O597" s="40"/>
      <c r="P597" s="40"/>
      <c r="Q597" s="41"/>
      <c r="R597" s="41"/>
      <c r="S597" s="41"/>
      <c r="T597" s="21"/>
      <c r="U597" s="21"/>
      <c r="V597" s="42"/>
    </row>
    <row r="598">
      <c r="C598" s="9"/>
      <c r="K598" s="40"/>
      <c r="L598" s="9"/>
      <c r="M598" s="9"/>
      <c r="N598" s="40"/>
      <c r="O598" s="40"/>
      <c r="P598" s="40"/>
      <c r="Q598" s="41"/>
      <c r="R598" s="41"/>
      <c r="S598" s="41"/>
      <c r="T598" s="21"/>
      <c r="U598" s="21"/>
      <c r="V598" s="42"/>
    </row>
    <row r="599">
      <c r="C599" s="9"/>
      <c r="K599" s="40"/>
      <c r="L599" s="9"/>
      <c r="M599" s="9"/>
      <c r="N599" s="40"/>
      <c r="O599" s="40"/>
      <c r="P599" s="40"/>
      <c r="Q599" s="41"/>
      <c r="R599" s="41"/>
      <c r="S599" s="41"/>
      <c r="T599" s="21"/>
      <c r="U599" s="21"/>
      <c r="V599" s="42"/>
    </row>
    <row r="600">
      <c r="C600" s="9"/>
      <c r="K600" s="40"/>
      <c r="L600" s="9"/>
      <c r="M600" s="9"/>
      <c r="N600" s="40"/>
      <c r="O600" s="40"/>
      <c r="P600" s="40"/>
      <c r="Q600" s="41"/>
      <c r="R600" s="41"/>
      <c r="S600" s="41"/>
      <c r="T600" s="21"/>
      <c r="U600" s="21"/>
      <c r="V600" s="42"/>
    </row>
    <row r="601">
      <c r="C601" s="9"/>
      <c r="K601" s="40"/>
      <c r="L601" s="9"/>
      <c r="M601" s="9"/>
      <c r="N601" s="40"/>
      <c r="O601" s="40"/>
      <c r="P601" s="40"/>
      <c r="Q601" s="41"/>
      <c r="R601" s="41"/>
      <c r="S601" s="41"/>
      <c r="T601" s="21"/>
      <c r="U601" s="21"/>
      <c r="V601" s="42"/>
    </row>
    <row r="602">
      <c r="C602" s="9"/>
      <c r="K602" s="40"/>
      <c r="L602" s="9"/>
      <c r="M602" s="9"/>
      <c r="N602" s="40"/>
      <c r="O602" s="40"/>
      <c r="P602" s="40"/>
      <c r="Q602" s="41"/>
      <c r="R602" s="41"/>
      <c r="S602" s="41"/>
      <c r="T602" s="21"/>
      <c r="U602" s="21"/>
      <c r="V602" s="42"/>
    </row>
    <row r="603">
      <c r="C603" s="9"/>
      <c r="K603" s="40"/>
      <c r="L603" s="9"/>
      <c r="M603" s="9"/>
      <c r="N603" s="40"/>
      <c r="O603" s="40"/>
      <c r="P603" s="40"/>
      <c r="Q603" s="41"/>
      <c r="R603" s="41"/>
      <c r="S603" s="41"/>
      <c r="T603" s="21"/>
      <c r="U603" s="21"/>
      <c r="V603" s="42"/>
    </row>
    <row r="604">
      <c r="C604" s="9"/>
      <c r="K604" s="40"/>
      <c r="L604" s="9"/>
      <c r="M604" s="9"/>
      <c r="N604" s="40"/>
      <c r="O604" s="40"/>
      <c r="P604" s="40"/>
      <c r="Q604" s="41"/>
      <c r="R604" s="41"/>
      <c r="S604" s="41"/>
      <c r="T604" s="21"/>
      <c r="U604" s="21"/>
      <c r="V604" s="42"/>
    </row>
    <row r="605">
      <c r="C605" s="9"/>
      <c r="K605" s="40"/>
      <c r="L605" s="9"/>
      <c r="M605" s="9"/>
      <c r="N605" s="40"/>
      <c r="O605" s="40"/>
      <c r="P605" s="40"/>
      <c r="Q605" s="41"/>
      <c r="R605" s="41"/>
      <c r="S605" s="41"/>
      <c r="T605" s="21"/>
      <c r="U605" s="21"/>
      <c r="V605" s="42"/>
    </row>
    <row r="606">
      <c r="C606" s="9"/>
      <c r="K606" s="40"/>
      <c r="L606" s="9"/>
      <c r="M606" s="9"/>
      <c r="N606" s="40"/>
      <c r="O606" s="40"/>
      <c r="P606" s="40"/>
      <c r="Q606" s="41"/>
      <c r="R606" s="41"/>
      <c r="S606" s="41"/>
      <c r="T606" s="21"/>
      <c r="U606" s="21"/>
      <c r="V606" s="42"/>
    </row>
    <row r="607">
      <c r="C607" s="9"/>
      <c r="K607" s="40"/>
      <c r="L607" s="9"/>
      <c r="M607" s="9"/>
      <c r="N607" s="40"/>
      <c r="O607" s="40"/>
      <c r="P607" s="40"/>
      <c r="Q607" s="41"/>
      <c r="R607" s="41"/>
      <c r="S607" s="41"/>
      <c r="T607" s="21"/>
      <c r="U607" s="21"/>
      <c r="V607" s="42"/>
    </row>
    <row r="608">
      <c r="C608" s="9"/>
      <c r="K608" s="40"/>
      <c r="L608" s="9"/>
      <c r="M608" s="9"/>
      <c r="N608" s="40"/>
      <c r="O608" s="40"/>
      <c r="P608" s="40"/>
      <c r="Q608" s="41"/>
      <c r="R608" s="41"/>
      <c r="S608" s="41"/>
      <c r="T608" s="21"/>
      <c r="U608" s="21"/>
      <c r="V608" s="42"/>
    </row>
    <row r="609">
      <c r="C609" s="9"/>
      <c r="K609" s="40"/>
      <c r="L609" s="9"/>
      <c r="M609" s="9"/>
      <c r="N609" s="40"/>
      <c r="O609" s="40"/>
      <c r="P609" s="40"/>
      <c r="Q609" s="41"/>
      <c r="R609" s="41"/>
      <c r="S609" s="41"/>
      <c r="T609" s="21"/>
      <c r="U609" s="21"/>
      <c r="V609" s="42"/>
    </row>
    <row r="610">
      <c r="C610" s="9"/>
      <c r="K610" s="40"/>
      <c r="L610" s="9"/>
      <c r="M610" s="9"/>
      <c r="N610" s="40"/>
      <c r="O610" s="40"/>
      <c r="P610" s="40"/>
      <c r="Q610" s="41"/>
      <c r="R610" s="41"/>
      <c r="S610" s="41"/>
      <c r="T610" s="21"/>
      <c r="U610" s="21"/>
      <c r="V610" s="42"/>
    </row>
    <row r="611">
      <c r="C611" s="9"/>
      <c r="K611" s="40"/>
      <c r="L611" s="9"/>
      <c r="M611" s="9"/>
      <c r="N611" s="40"/>
      <c r="O611" s="40"/>
      <c r="P611" s="40"/>
      <c r="Q611" s="41"/>
      <c r="R611" s="41"/>
      <c r="S611" s="41"/>
      <c r="T611" s="21"/>
      <c r="U611" s="21"/>
      <c r="V611" s="42"/>
    </row>
    <row r="612">
      <c r="C612" s="9"/>
      <c r="K612" s="40"/>
      <c r="L612" s="9"/>
      <c r="M612" s="9"/>
      <c r="N612" s="40"/>
      <c r="O612" s="40"/>
      <c r="P612" s="40"/>
      <c r="Q612" s="41"/>
      <c r="R612" s="41"/>
      <c r="S612" s="41"/>
      <c r="T612" s="21"/>
      <c r="U612" s="21"/>
      <c r="V612" s="42"/>
    </row>
    <row r="613">
      <c r="C613" s="9"/>
      <c r="K613" s="40"/>
      <c r="L613" s="9"/>
      <c r="M613" s="9"/>
      <c r="N613" s="40"/>
      <c r="O613" s="40"/>
      <c r="P613" s="40"/>
      <c r="Q613" s="41"/>
      <c r="R613" s="41"/>
      <c r="S613" s="41"/>
      <c r="T613" s="21"/>
      <c r="U613" s="21"/>
      <c r="V613" s="42"/>
    </row>
    <row r="614">
      <c r="C614" s="9"/>
      <c r="K614" s="40"/>
      <c r="L614" s="9"/>
      <c r="M614" s="9"/>
      <c r="N614" s="40"/>
      <c r="O614" s="40"/>
      <c r="P614" s="40"/>
      <c r="Q614" s="41"/>
      <c r="R614" s="41"/>
      <c r="S614" s="41"/>
      <c r="T614" s="21"/>
      <c r="U614" s="21"/>
      <c r="V614" s="42"/>
    </row>
    <row r="615">
      <c r="C615" s="9"/>
      <c r="K615" s="40"/>
      <c r="L615" s="9"/>
      <c r="M615" s="9"/>
      <c r="N615" s="40"/>
      <c r="O615" s="40"/>
      <c r="P615" s="40"/>
      <c r="Q615" s="41"/>
      <c r="R615" s="41"/>
      <c r="S615" s="41"/>
      <c r="T615" s="21"/>
      <c r="U615" s="21"/>
      <c r="V615" s="42"/>
    </row>
    <row r="616">
      <c r="C616" s="9"/>
      <c r="K616" s="40"/>
      <c r="L616" s="9"/>
      <c r="M616" s="9"/>
      <c r="N616" s="40"/>
      <c r="O616" s="40"/>
      <c r="P616" s="40"/>
      <c r="Q616" s="41"/>
      <c r="R616" s="41"/>
      <c r="S616" s="41"/>
      <c r="T616" s="21"/>
      <c r="U616" s="21"/>
      <c r="V616" s="42"/>
    </row>
    <row r="617">
      <c r="C617" s="9"/>
      <c r="K617" s="40"/>
      <c r="L617" s="9"/>
      <c r="M617" s="9"/>
      <c r="N617" s="40"/>
      <c r="O617" s="40"/>
      <c r="P617" s="40"/>
      <c r="Q617" s="41"/>
      <c r="R617" s="41"/>
      <c r="S617" s="41"/>
      <c r="T617" s="21"/>
      <c r="U617" s="21"/>
      <c r="V617" s="42"/>
    </row>
    <row r="618">
      <c r="C618" s="9"/>
      <c r="K618" s="40"/>
      <c r="L618" s="9"/>
      <c r="M618" s="9"/>
      <c r="N618" s="40"/>
      <c r="O618" s="40"/>
      <c r="P618" s="40"/>
      <c r="Q618" s="41"/>
      <c r="R618" s="41"/>
      <c r="S618" s="41"/>
      <c r="T618" s="21"/>
      <c r="U618" s="21"/>
      <c r="V618" s="42"/>
    </row>
    <row r="619">
      <c r="C619" s="9"/>
      <c r="K619" s="40"/>
      <c r="L619" s="9"/>
      <c r="M619" s="9"/>
      <c r="N619" s="40"/>
      <c r="O619" s="40"/>
      <c r="P619" s="40"/>
      <c r="Q619" s="41"/>
      <c r="R619" s="41"/>
      <c r="S619" s="41"/>
      <c r="T619" s="21"/>
      <c r="U619" s="21"/>
      <c r="V619" s="42"/>
    </row>
    <row r="620">
      <c r="C620" s="9"/>
      <c r="K620" s="40"/>
      <c r="L620" s="9"/>
      <c r="M620" s="9"/>
      <c r="N620" s="40"/>
      <c r="O620" s="40"/>
      <c r="P620" s="40"/>
      <c r="Q620" s="41"/>
      <c r="R620" s="41"/>
      <c r="S620" s="41"/>
      <c r="T620" s="21"/>
      <c r="U620" s="21"/>
      <c r="V620" s="42"/>
    </row>
    <row r="621">
      <c r="C621" s="9"/>
      <c r="K621" s="40"/>
      <c r="L621" s="9"/>
      <c r="M621" s="9"/>
      <c r="N621" s="40"/>
      <c r="O621" s="40"/>
      <c r="P621" s="40"/>
      <c r="Q621" s="41"/>
      <c r="R621" s="41"/>
      <c r="S621" s="41"/>
      <c r="T621" s="21"/>
      <c r="U621" s="21"/>
      <c r="V621" s="42"/>
    </row>
    <row r="622">
      <c r="C622" s="9"/>
      <c r="K622" s="40"/>
      <c r="L622" s="9"/>
      <c r="M622" s="9"/>
      <c r="N622" s="40"/>
      <c r="O622" s="40"/>
      <c r="P622" s="40"/>
      <c r="Q622" s="41"/>
      <c r="R622" s="41"/>
      <c r="S622" s="41"/>
      <c r="T622" s="21"/>
      <c r="U622" s="21"/>
      <c r="V622" s="42"/>
    </row>
    <row r="623">
      <c r="C623" s="9"/>
      <c r="K623" s="40"/>
      <c r="L623" s="9"/>
      <c r="M623" s="9"/>
      <c r="N623" s="40"/>
      <c r="O623" s="40"/>
      <c r="P623" s="40"/>
      <c r="Q623" s="41"/>
      <c r="R623" s="41"/>
      <c r="S623" s="41"/>
      <c r="T623" s="21"/>
      <c r="U623" s="21"/>
      <c r="V623" s="42"/>
    </row>
    <row r="624">
      <c r="C624" s="9"/>
      <c r="K624" s="40"/>
      <c r="L624" s="9"/>
      <c r="M624" s="9"/>
      <c r="N624" s="40"/>
      <c r="O624" s="40"/>
      <c r="P624" s="40"/>
      <c r="Q624" s="41"/>
      <c r="R624" s="41"/>
      <c r="S624" s="41"/>
      <c r="T624" s="21"/>
      <c r="U624" s="21"/>
      <c r="V624" s="42"/>
    </row>
    <row r="625">
      <c r="C625" s="9"/>
      <c r="K625" s="40"/>
      <c r="L625" s="9"/>
      <c r="M625" s="9"/>
      <c r="N625" s="40"/>
      <c r="O625" s="40"/>
      <c r="P625" s="40"/>
      <c r="Q625" s="41"/>
      <c r="R625" s="41"/>
      <c r="S625" s="41"/>
      <c r="T625" s="21"/>
      <c r="U625" s="21"/>
      <c r="V625" s="42"/>
    </row>
    <row r="626">
      <c r="C626" s="9"/>
      <c r="K626" s="40"/>
      <c r="L626" s="9"/>
      <c r="M626" s="9"/>
      <c r="N626" s="40"/>
      <c r="O626" s="40"/>
      <c r="P626" s="40"/>
      <c r="Q626" s="41"/>
      <c r="R626" s="41"/>
      <c r="S626" s="41"/>
      <c r="T626" s="21"/>
      <c r="U626" s="21"/>
      <c r="V626" s="42"/>
    </row>
    <row r="627">
      <c r="C627" s="9"/>
      <c r="K627" s="40"/>
      <c r="L627" s="9"/>
      <c r="M627" s="9"/>
      <c r="N627" s="40"/>
      <c r="O627" s="40"/>
      <c r="P627" s="40"/>
      <c r="Q627" s="41"/>
      <c r="R627" s="41"/>
      <c r="S627" s="41"/>
      <c r="T627" s="21"/>
      <c r="U627" s="21"/>
      <c r="V627" s="42"/>
    </row>
    <row r="628">
      <c r="C628" s="9"/>
      <c r="K628" s="40"/>
      <c r="L628" s="9"/>
      <c r="M628" s="9"/>
      <c r="N628" s="40"/>
      <c r="O628" s="40"/>
      <c r="P628" s="40"/>
      <c r="Q628" s="41"/>
      <c r="R628" s="41"/>
      <c r="S628" s="41"/>
      <c r="T628" s="21"/>
      <c r="U628" s="21"/>
      <c r="V628" s="42"/>
    </row>
    <row r="629">
      <c r="C629" s="9"/>
      <c r="K629" s="40"/>
      <c r="L629" s="9"/>
      <c r="M629" s="9"/>
      <c r="N629" s="40"/>
      <c r="O629" s="40"/>
      <c r="P629" s="40"/>
      <c r="Q629" s="41"/>
      <c r="R629" s="41"/>
      <c r="S629" s="41"/>
      <c r="T629" s="21"/>
      <c r="U629" s="21"/>
      <c r="V629" s="42"/>
    </row>
    <row r="630">
      <c r="C630" s="9"/>
      <c r="K630" s="40"/>
      <c r="L630" s="9"/>
      <c r="M630" s="9"/>
      <c r="N630" s="40"/>
      <c r="O630" s="40"/>
      <c r="P630" s="40"/>
      <c r="Q630" s="41"/>
      <c r="R630" s="41"/>
      <c r="S630" s="41"/>
      <c r="T630" s="21"/>
      <c r="U630" s="21"/>
      <c r="V630" s="42"/>
    </row>
    <row r="631">
      <c r="C631" s="9"/>
      <c r="K631" s="40"/>
      <c r="L631" s="9"/>
      <c r="M631" s="9"/>
      <c r="N631" s="40"/>
      <c r="O631" s="40"/>
      <c r="P631" s="40"/>
      <c r="Q631" s="41"/>
      <c r="R631" s="41"/>
      <c r="S631" s="41"/>
      <c r="T631" s="21"/>
      <c r="U631" s="21"/>
      <c r="V631" s="42"/>
    </row>
    <row r="632">
      <c r="C632" s="9"/>
      <c r="K632" s="40"/>
      <c r="L632" s="9"/>
      <c r="M632" s="9"/>
      <c r="N632" s="40"/>
      <c r="O632" s="40"/>
      <c r="P632" s="40"/>
      <c r="Q632" s="41"/>
      <c r="R632" s="41"/>
      <c r="S632" s="41"/>
      <c r="T632" s="21"/>
      <c r="U632" s="21"/>
      <c r="V632" s="42"/>
    </row>
    <row r="633">
      <c r="C633" s="9"/>
      <c r="K633" s="40"/>
      <c r="L633" s="9"/>
      <c r="M633" s="9"/>
      <c r="N633" s="40"/>
      <c r="O633" s="40"/>
      <c r="P633" s="40"/>
      <c r="Q633" s="41"/>
      <c r="R633" s="41"/>
      <c r="S633" s="41"/>
      <c r="T633" s="21"/>
      <c r="U633" s="21"/>
      <c r="V633" s="42"/>
    </row>
    <row r="634">
      <c r="C634" s="9"/>
      <c r="K634" s="40"/>
      <c r="L634" s="9"/>
      <c r="M634" s="9"/>
      <c r="N634" s="40"/>
      <c r="O634" s="40"/>
      <c r="P634" s="40"/>
      <c r="Q634" s="41"/>
      <c r="R634" s="41"/>
      <c r="S634" s="41"/>
      <c r="T634" s="21"/>
      <c r="U634" s="21"/>
      <c r="V634" s="42"/>
    </row>
    <row r="635">
      <c r="C635" s="9"/>
      <c r="K635" s="40"/>
      <c r="L635" s="9"/>
      <c r="M635" s="9"/>
      <c r="N635" s="40"/>
      <c r="O635" s="40"/>
      <c r="P635" s="40"/>
      <c r="Q635" s="41"/>
      <c r="R635" s="41"/>
      <c r="S635" s="41"/>
      <c r="T635" s="21"/>
      <c r="U635" s="21"/>
      <c r="V635" s="42"/>
    </row>
    <row r="636">
      <c r="C636" s="9"/>
      <c r="K636" s="40"/>
      <c r="L636" s="9"/>
      <c r="M636" s="9"/>
      <c r="N636" s="40"/>
      <c r="O636" s="40"/>
      <c r="P636" s="40"/>
      <c r="Q636" s="41"/>
      <c r="R636" s="41"/>
      <c r="S636" s="41"/>
      <c r="T636" s="21"/>
      <c r="U636" s="21"/>
      <c r="V636" s="42"/>
    </row>
    <row r="637">
      <c r="C637" s="9"/>
      <c r="K637" s="40"/>
      <c r="L637" s="9"/>
      <c r="M637" s="9"/>
      <c r="N637" s="40"/>
      <c r="O637" s="40"/>
      <c r="P637" s="40"/>
      <c r="Q637" s="41"/>
      <c r="R637" s="41"/>
      <c r="S637" s="41"/>
      <c r="T637" s="21"/>
      <c r="U637" s="21"/>
      <c r="V637" s="42"/>
    </row>
    <row r="638">
      <c r="C638" s="9"/>
      <c r="K638" s="40"/>
      <c r="L638" s="9"/>
      <c r="M638" s="9"/>
      <c r="N638" s="40"/>
      <c r="O638" s="40"/>
      <c r="P638" s="40"/>
      <c r="Q638" s="41"/>
      <c r="R638" s="41"/>
      <c r="S638" s="41"/>
      <c r="T638" s="21"/>
      <c r="U638" s="21"/>
      <c r="V638" s="42"/>
    </row>
    <row r="639">
      <c r="C639" s="9"/>
      <c r="K639" s="40"/>
      <c r="L639" s="9"/>
      <c r="M639" s="9"/>
      <c r="N639" s="40"/>
      <c r="O639" s="40"/>
      <c r="P639" s="40"/>
      <c r="Q639" s="41"/>
      <c r="R639" s="41"/>
      <c r="S639" s="41"/>
      <c r="T639" s="21"/>
      <c r="U639" s="21"/>
      <c r="V639" s="42"/>
    </row>
    <row r="640">
      <c r="C640" s="9"/>
      <c r="K640" s="40"/>
      <c r="L640" s="9"/>
      <c r="M640" s="9"/>
      <c r="N640" s="40"/>
      <c r="O640" s="40"/>
      <c r="P640" s="40"/>
      <c r="Q640" s="41"/>
      <c r="R640" s="41"/>
      <c r="S640" s="41"/>
      <c r="T640" s="21"/>
      <c r="U640" s="21"/>
      <c r="V640" s="42"/>
    </row>
    <row r="641">
      <c r="C641" s="9"/>
      <c r="K641" s="40"/>
      <c r="L641" s="9"/>
      <c r="M641" s="9"/>
      <c r="N641" s="40"/>
      <c r="O641" s="40"/>
      <c r="P641" s="40"/>
      <c r="Q641" s="41"/>
      <c r="R641" s="41"/>
      <c r="S641" s="41"/>
      <c r="T641" s="21"/>
      <c r="U641" s="21"/>
      <c r="V641" s="42"/>
    </row>
    <row r="642">
      <c r="C642" s="9"/>
      <c r="K642" s="40"/>
      <c r="L642" s="9"/>
      <c r="M642" s="9"/>
      <c r="N642" s="40"/>
      <c r="O642" s="40"/>
      <c r="P642" s="40"/>
      <c r="Q642" s="41"/>
      <c r="R642" s="41"/>
      <c r="S642" s="41"/>
      <c r="T642" s="21"/>
      <c r="U642" s="21"/>
      <c r="V642" s="42"/>
    </row>
    <row r="643">
      <c r="C643" s="9"/>
      <c r="K643" s="40"/>
      <c r="L643" s="9"/>
      <c r="M643" s="9"/>
      <c r="N643" s="40"/>
      <c r="O643" s="40"/>
      <c r="P643" s="40"/>
      <c r="Q643" s="41"/>
      <c r="R643" s="41"/>
      <c r="S643" s="41"/>
      <c r="T643" s="21"/>
      <c r="U643" s="21"/>
      <c r="V643" s="42"/>
    </row>
    <row r="644">
      <c r="C644" s="9"/>
      <c r="K644" s="40"/>
      <c r="L644" s="9"/>
      <c r="M644" s="9"/>
      <c r="N644" s="40"/>
      <c r="O644" s="40"/>
      <c r="P644" s="40"/>
      <c r="Q644" s="41"/>
      <c r="R644" s="41"/>
      <c r="S644" s="41"/>
      <c r="T644" s="21"/>
      <c r="U644" s="21"/>
      <c r="V644" s="42"/>
    </row>
    <row r="645">
      <c r="C645" s="9"/>
      <c r="K645" s="40"/>
      <c r="L645" s="9"/>
      <c r="M645" s="9"/>
      <c r="N645" s="40"/>
      <c r="O645" s="40"/>
      <c r="P645" s="40"/>
      <c r="Q645" s="41"/>
      <c r="R645" s="41"/>
      <c r="S645" s="41"/>
      <c r="T645" s="21"/>
      <c r="U645" s="21"/>
      <c r="V645" s="42"/>
    </row>
    <row r="646">
      <c r="C646" s="9"/>
      <c r="K646" s="40"/>
      <c r="L646" s="9"/>
      <c r="M646" s="9"/>
      <c r="N646" s="40"/>
      <c r="O646" s="40"/>
      <c r="P646" s="40"/>
      <c r="Q646" s="41"/>
      <c r="R646" s="41"/>
      <c r="S646" s="41"/>
      <c r="T646" s="21"/>
      <c r="U646" s="21"/>
      <c r="V646" s="42"/>
    </row>
    <row r="647">
      <c r="C647" s="9"/>
      <c r="K647" s="40"/>
      <c r="L647" s="9"/>
      <c r="M647" s="9"/>
      <c r="N647" s="40"/>
      <c r="O647" s="40"/>
      <c r="P647" s="40"/>
      <c r="Q647" s="41"/>
      <c r="R647" s="41"/>
      <c r="S647" s="41"/>
      <c r="T647" s="21"/>
      <c r="U647" s="21"/>
      <c r="V647" s="42"/>
    </row>
    <row r="648">
      <c r="C648" s="9"/>
      <c r="K648" s="40"/>
      <c r="L648" s="9"/>
      <c r="M648" s="9"/>
      <c r="N648" s="40"/>
      <c r="O648" s="40"/>
      <c r="P648" s="40"/>
      <c r="Q648" s="41"/>
      <c r="R648" s="41"/>
      <c r="S648" s="41"/>
      <c r="T648" s="21"/>
      <c r="U648" s="21"/>
      <c r="V648" s="42"/>
    </row>
    <row r="649">
      <c r="C649" s="9"/>
      <c r="K649" s="40"/>
      <c r="L649" s="9"/>
      <c r="M649" s="9"/>
      <c r="N649" s="40"/>
      <c r="O649" s="40"/>
      <c r="P649" s="40"/>
      <c r="Q649" s="41"/>
      <c r="R649" s="41"/>
      <c r="S649" s="41"/>
      <c r="T649" s="21"/>
      <c r="U649" s="21"/>
      <c r="V649" s="42"/>
    </row>
    <row r="650">
      <c r="C650" s="9"/>
      <c r="K650" s="40"/>
      <c r="L650" s="9"/>
      <c r="M650" s="9"/>
      <c r="N650" s="40"/>
      <c r="O650" s="40"/>
      <c r="P650" s="40"/>
      <c r="Q650" s="41"/>
      <c r="R650" s="41"/>
      <c r="S650" s="41"/>
      <c r="T650" s="21"/>
      <c r="U650" s="21"/>
      <c r="V650" s="42"/>
    </row>
    <row r="651">
      <c r="C651" s="9"/>
      <c r="K651" s="40"/>
      <c r="L651" s="9"/>
      <c r="M651" s="9"/>
      <c r="N651" s="40"/>
      <c r="O651" s="40"/>
      <c r="P651" s="40"/>
      <c r="Q651" s="41"/>
      <c r="R651" s="41"/>
      <c r="S651" s="41"/>
      <c r="T651" s="21"/>
      <c r="U651" s="21"/>
      <c r="V651" s="42"/>
    </row>
    <row r="652">
      <c r="C652" s="9"/>
      <c r="K652" s="40"/>
      <c r="L652" s="9"/>
      <c r="M652" s="9"/>
      <c r="N652" s="40"/>
      <c r="O652" s="40"/>
      <c r="P652" s="40"/>
      <c r="Q652" s="41"/>
      <c r="R652" s="41"/>
      <c r="S652" s="41"/>
      <c r="T652" s="21"/>
      <c r="U652" s="21"/>
      <c r="V652" s="42"/>
    </row>
    <row r="653">
      <c r="C653" s="9"/>
      <c r="K653" s="40"/>
      <c r="L653" s="9"/>
      <c r="M653" s="9"/>
      <c r="N653" s="40"/>
      <c r="O653" s="40"/>
      <c r="P653" s="40"/>
      <c r="Q653" s="41"/>
      <c r="R653" s="41"/>
      <c r="S653" s="41"/>
      <c r="T653" s="21"/>
      <c r="U653" s="21"/>
      <c r="V653" s="42"/>
    </row>
    <row r="654">
      <c r="C654" s="9"/>
      <c r="K654" s="40"/>
      <c r="L654" s="9"/>
      <c r="M654" s="9"/>
      <c r="N654" s="40"/>
      <c r="O654" s="40"/>
      <c r="P654" s="40"/>
      <c r="Q654" s="41"/>
      <c r="R654" s="41"/>
      <c r="S654" s="41"/>
      <c r="T654" s="21"/>
      <c r="U654" s="21"/>
      <c r="V654" s="42"/>
    </row>
    <row r="655">
      <c r="C655" s="9"/>
      <c r="K655" s="40"/>
      <c r="L655" s="9"/>
      <c r="M655" s="9"/>
      <c r="N655" s="40"/>
      <c r="O655" s="40"/>
      <c r="P655" s="40"/>
      <c r="Q655" s="41"/>
      <c r="R655" s="41"/>
      <c r="S655" s="41"/>
      <c r="T655" s="21"/>
      <c r="U655" s="21"/>
      <c r="V655" s="42"/>
    </row>
    <row r="656">
      <c r="C656" s="9"/>
      <c r="K656" s="40"/>
      <c r="L656" s="9"/>
      <c r="M656" s="9"/>
      <c r="N656" s="40"/>
      <c r="O656" s="40"/>
      <c r="P656" s="40"/>
      <c r="Q656" s="41"/>
      <c r="R656" s="41"/>
      <c r="S656" s="41"/>
      <c r="T656" s="21"/>
      <c r="U656" s="21"/>
      <c r="V656" s="42"/>
    </row>
    <row r="657">
      <c r="C657" s="9"/>
      <c r="K657" s="40"/>
      <c r="L657" s="9"/>
      <c r="M657" s="9"/>
      <c r="N657" s="40"/>
      <c r="O657" s="40"/>
      <c r="P657" s="40"/>
      <c r="Q657" s="41"/>
      <c r="R657" s="41"/>
      <c r="S657" s="41"/>
      <c r="T657" s="21"/>
      <c r="U657" s="21"/>
      <c r="V657" s="42"/>
    </row>
    <row r="658">
      <c r="C658" s="9"/>
      <c r="K658" s="40"/>
      <c r="L658" s="9"/>
      <c r="M658" s="9"/>
      <c r="N658" s="40"/>
      <c r="O658" s="40"/>
      <c r="P658" s="40"/>
      <c r="Q658" s="41"/>
      <c r="R658" s="41"/>
      <c r="S658" s="41"/>
      <c r="T658" s="21"/>
      <c r="U658" s="21"/>
      <c r="V658" s="42"/>
    </row>
    <row r="659">
      <c r="C659" s="9"/>
      <c r="K659" s="40"/>
      <c r="L659" s="9"/>
      <c r="M659" s="9"/>
      <c r="N659" s="40"/>
      <c r="O659" s="40"/>
      <c r="P659" s="40"/>
      <c r="Q659" s="41"/>
      <c r="R659" s="41"/>
      <c r="S659" s="41"/>
      <c r="T659" s="21"/>
      <c r="U659" s="21"/>
      <c r="V659" s="42"/>
    </row>
    <row r="660">
      <c r="C660" s="9"/>
      <c r="K660" s="40"/>
      <c r="L660" s="9"/>
      <c r="M660" s="9"/>
      <c r="N660" s="40"/>
      <c r="O660" s="40"/>
      <c r="P660" s="40"/>
      <c r="Q660" s="41"/>
      <c r="R660" s="41"/>
      <c r="S660" s="41"/>
      <c r="T660" s="21"/>
      <c r="U660" s="21"/>
      <c r="V660" s="42"/>
    </row>
    <row r="661">
      <c r="C661" s="9"/>
      <c r="K661" s="40"/>
      <c r="L661" s="9"/>
      <c r="M661" s="9"/>
      <c r="N661" s="40"/>
      <c r="O661" s="40"/>
      <c r="P661" s="40"/>
      <c r="Q661" s="41"/>
      <c r="R661" s="41"/>
      <c r="S661" s="41"/>
      <c r="T661" s="21"/>
      <c r="U661" s="21"/>
      <c r="V661" s="42"/>
    </row>
    <row r="662">
      <c r="C662" s="9"/>
      <c r="K662" s="40"/>
      <c r="L662" s="9"/>
      <c r="M662" s="9"/>
      <c r="N662" s="40"/>
      <c r="O662" s="40"/>
      <c r="P662" s="40"/>
      <c r="Q662" s="41"/>
      <c r="R662" s="41"/>
      <c r="S662" s="41"/>
      <c r="T662" s="21"/>
      <c r="U662" s="21"/>
      <c r="V662" s="42"/>
    </row>
    <row r="663">
      <c r="C663" s="9"/>
      <c r="K663" s="40"/>
      <c r="L663" s="9"/>
      <c r="M663" s="9"/>
      <c r="N663" s="40"/>
      <c r="O663" s="40"/>
      <c r="P663" s="40"/>
      <c r="Q663" s="41"/>
      <c r="R663" s="41"/>
      <c r="S663" s="41"/>
      <c r="T663" s="21"/>
      <c r="U663" s="21"/>
      <c r="V663" s="42"/>
    </row>
    <row r="664">
      <c r="C664" s="9"/>
      <c r="K664" s="40"/>
      <c r="L664" s="9"/>
      <c r="M664" s="9"/>
      <c r="N664" s="40"/>
      <c r="O664" s="40"/>
      <c r="P664" s="40"/>
      <c r="Q664" s="41"/>
      <c r="R664" s="41"/>
      <c r="S664" s="41"/>
      <c r="T664" s="21"/>
      <c r="U664" s="21"/>
      <c r="V664" s="42"/>
    </row>
    <row r="665">
      <c r="C665" s="9"/>
      <c r="K665" s="40"/>
      <c r="L665" s="9"/>
      <c r="M665" s="9"/>
      <c r="N665" s="40"/>
      <c r="O665" s="40"/>
      <c r="P665" s="40"/>
      <c r="Q665" s="41"/>
      <c r="R665" s="41"/>
      <c r="S665" s="41"/>
      <c r="T665" s="21"/>
      <c r="U665" s="21"/>
      <c r="V665" s="42"/>
    </row>
    <row r="666">
      <c r="C666" s="9"/>
      <c r="K666" s="40"/>
      <c r="L666" s="9"/>
      <c r="M666" s="9"/>
      <c r="N666" s="40"/>
      <c r="O666" s="40"/>
      <c r="P666" s="40"/>
      <c r="Q666" s="41"/>
      <c r="R666" s="41"/>
      <c r="S666" s="41"/>
      <c r="T666" s="21"/>
      <c r="U666" s="21"/>
      <c r="V666" s="42"/>
    </row>
    <row r="667">
      <c r="C667" s="9"/>
      <c r="K667" s="40"/>
      <c r="L667" s="9"/>
      <c r="M667" s="9"/>
      <c r="N667" s="40"/>
      <c r="O667" s="40"/>
      <c r="P667" s="40"/>
      <c r="Q667" s="41"/>
      <c r="R667" s="41"/>
      <c r="S667" s="41"/>
      <c r="T667" s="21"/>
      <c r="U667" s="21"/>
      <c r="V667" s="42"/>
    </row>
    <row r="668">
      <c r="C668" s="9"/>
      <c r="K668" s="40"/>
      <c r="L668" s="9"/>
      <c r="M668" s="9"/>
      <c r="N668" s="40"/>
      <c r="O668" s="40"/>
      <c r="P668" s="40"/>
      <c r="Q668" s="41"/>
      <c r="R668" s="41"/>
      <c r="S668" s="41"/>
      <c r="T668" s="21"/>
      <c r="U668" s="21"/>
      <c r="V668" s="42"/>
    </row>
    <row r="669">
      <c r="C669" s="9"/>
      <c r="K669" s="40"/>
      <c r="L669" s="9"/>
      <c r="M669" s="9"/>
      <c r="N669" s="40"/>
      <c r="O669" s="40"/>
      <c r="P669" s="40"/>
      <c r="Q669" s="41"/>
      <c r="R669" s="41"/>
      <c r="S669" s="41"/>
      <c r="T669" s="21"/>
      <c r="U669" s="21"/>
      <c r="V669" s="42"/>
    </row>
    <row r="670">
      <c r="C670" s="9"/>
      <c r="K670" s="40"/>
      <c r="L670" s="9"/>
      <c r="M670" s="9"/>
      <c r="N670" s="40"/>
      <c r="O670" s="40"/>
      <c r="P670" s="40"/>
      <c r="Q670" s="41"/>
      <c r="R670" s="41"/>
      <c r="S670" s="41"/>
      <c r="T670" s="21"/>
      <c r="U670" s="21"/>
      <c r="V670" s="42"/>
    </row>
    <row r="671">
      <c r="C671" s="9"/>
      <c r="K671" s="40"/>
      <c r="L671" s="9"/>
      <c r="M671" s="9"/>
      <c r="N671" s="40"/>
      <c r="O671" s="40"/>
      <c r="P671" s="40"/>
      <c r="Q671" s="41"/>
      <c r="R671" s="41"/>
      <c r="S671" s="41"/>
      <c r="T671" s="21"/>
      <c r="U671" s="21"/>
      <c r="V671" s="42"/>
    </row>
    <row r="672">
      <c r="C672" s="9"/>
      <c r="K672" s="40"/>
      <c r="L672" s="9"/>
      <c r="M672" s="9"/>
      <c r="N672" s="40"/>
      <c r="O672" s="40"/>
      <c r="P672" s="40"/>
      <c r="Q672" s="41"/>
      <c r="R672" s="41"/>
      <c r="S672" s="41"/>
      <c r="T672" s="21"/>
      <c r="U672" s="21"/>
      <c r="V672" s="42"/>
    </row>
    <row r="673">
      <c r="C673" s="9"/>
      <c r="K673" s="40"/>
      <c r="L673" s="9"/>
      <c r="M673" s="9"/>
      <c r="N673" s="40"/>
      <c r="O673" s="40"/>
      <c r="P673" s="40"/>
      <c r="Q673" s="41"/>
      <c r="R673" s="41"/>
      <c r="S673" s="41"/>
      <c r="T673" s="21"/>
      <c r="U673" s="21"/>
      <c r="V673" s="42"/>
    </row>
    <row r="674">
      <c r="C674" s="9"/>
      <c r="K674" s="40"/>
      <c r="L674" s="9"/>
      <c r="M674" s="9"/>
      <c r="N674" s="40"/>
      <c r="O674" s="40"/>
      <c r="P674" s="40"/>
      <c r="Q674" s="41"/>
      <c r="R674" s="41"/>
      <c r="S674" s="41"/>
      <c r="T674" s="21"/>
      <c r="U674" s="21"/>
      <c r="V674" s="42"/>
    </row>
    <row r="675">
      <c r="C675" s="9"/>
      <c r="K675" s="40"/>
      <c r="L675" s="9"/>
      <c r="M675" s="9"/>
      <c r="N675" s="40"/>
      <c r="O675" s="40"/>
      <c r="P675" s="40"/>
      <c r="Q675" s="41"/>
      <c r="R675" s="41"/>
      <c r="S675" s="41"/>
      <c r="T675" s="21"/>
      <c r="U675" s="21"/>
      <c r="V675" s="42"/>
    </row>
    <row r="676">
      <c r="C676" s="9"/>
      <c r="K676" s="40"/>
      <c r="L676" s="9"/>
      <c r="M676" s="9"/>
      <c r="N676" s="40"/>
      <c r="O676" s="40"/>
      <c r="P676" s="40"/>
      <c r="Q676" s="41"/>
      <c r="R676" s="41"/>
      <c r="S676" s="41"/>
      <c r="T676" s="21"/>
      <c r="U676" s="21"/>
      <c r="V676" s="42"/>
    </row>
    <row r="677">
      <c r="C677" s="9"/>
      <c r="K677" s="40"/>
      <c r="L677" s="9"/>
      <c r="M677" s="9"/>
      <c r="N677" s="40"/>
      <c r="O677" s="40"/>
      <c r="P677" s="40"/>
      <c r="Q677" s="41"/>
      <c r="R677" s="41"/>
      <c r="S677" s="41"/>
      <c r="T677" s="21"/>
      <c r="U677" s="21"/>
      <c r="V677" s="42"/>
    </row>
    <row r="678">
      <c r="C678" s="9"/>
      <c r="K678" s="40"/>
      <c r="L678" s="9"/>
      <c r="M678" s="9"/>
      <c r="N678" s="40"/>
      <c r="O678" s="40"/>
      <c r="P678" s="40"/>
      <c r="Q678" s="41"/>
      <c r="R678" s="41"/>
      <c r="S678" s="41"/>
      <c r="T678" s="21"/>
      <c r="U678" s="21"/>
      <c r="V678" s="42"/>
    </row>
    <row r="679">
      <c r="C679" s="9"/>
      <c r="K679" s="40"/>
      <c r="L679" s="9"/>
      <c r="M679" s="9"/>
      <c r="N679" s="40"/>
      <c r="O679" s="40"/>
      <c r="P679" s="40"/>
      <c r="Q679" s="41"/>
      <c r="R679" s="41"/>
      <c r="S679" s="41"/>
      <c r="T679" s="21"/>
      <c r="U679" s="21"/>
      <c r="V679" s="42"/>
    </row>
    <row r="680">
      <c r="C680" s="9"/>
      <c r="K680" s="40"/>
      <c r="L680" s="9"/>
      <c r="M680" s="9"/>
      <c r="N680" s="40"/>
      <c r="O680" s="40"/>
      <c r="P680" s="40"/>
      <c r="Q680" s="41"/>
      <c r="R680" s="41"/>
      <c r="S680" s="41"/>
      <c r="T680" s="21"/>
      <c r="U680" s="21"/>
      <c r="V680" s="42"/>
    </row>
    <row r="681">
      <c r="C681" s="9"/>
      <c r="K681" s="40"/>
      <c r="L681" s="9"/>
      <c r="M681" s="9"/>
      <c r="N681" s="40"/>
      <c r="O681" s="40"/>
      <c r="P681" s="40"/>
      <c r="Q681" s="41"/>
      <c r="R681" s="41"/>
      <c r="S681" s="41"/>
      <c r="T681" s="21"/>
      <c r="U681" s="21"/>
      <c r="V681" s="42"/>
    </row>
    <row r="682">
      <c r="C682" s="9"/>
      <c r="K682" s="40"/>
      <c r="L682" s="9"/>
      <c r="M682" s="9"/>
      <c r="N682" s="40"/>
      <c r="O682" s="40"/>
      <c r="P682" s="40"/>
      <c r="Q682" s="41"/>
      <c r="R682" s="41"/>
      <c r="S682" s="41"/>
      <c r="T682" s="21"/>
      <c r="U682" s="21"/>
      <c r="V682" s="42"/>
    </row>
    <row r="683">
      <c r="C683" s="9"/>
      <c r="K683" s="40"/>
      <c r="L683" s="9"/>
      <c r="M683" s="9"/>
      <c r="N683" s="40"/>
      <c r="O683" s="40"/>
      <c r="P683" s="40"/>
      <c r="Q683" s="41"/>
      <c r="R683" s="41"/>
      <c r="S683" s="41"/>
      <c r="T683" s="21"/>
      <c r="U683" s="21"/>
      <c r="V683" s="42"/>
    </row>
    <row r="684">
      <c r="C684" s="9"/>
      <c r="K684" s="40"/>
      <c r="L684" s="9"/>
      <c r="M684" s="9"/>
      <c r="N684" s="40"/>
      <c r="O684" s="40"/>
      <c r="P684" s="40"/>
      <c r="Q684" s="41"/>
      <c r="R684" s="41"/>
      <c r="S684" s="41"/>
      <c r="T684" s="21"/>
      <c r="U684" s="21"/>
      <c r="V684" s="42"/>
    </row>
    <row r="685">
      <c r="C685" s="9"/>
      <c r="K685" s="40"/>
      <c r="L685" s="9"/>
      <c r="M685" s="9"/>
      <c r="N685" s="40"/>
      <c r="O685" s="40"/>
      <c r="P685" s="40"/>
      <c r="Q685" s="41"/>
      <c r="R685" s="41"/>
      <c r="S685" s="41"/>
      <c r="T685" s="21"/>
      <c r="U685" s="21"/>
      <c r="V685" s="42"/>
    </row>
    <row r="686">
      <c r="C686" s="9"/>
      <c r="K686" s="40"/>
      <c r="L686" s="9"/>
      <c r="M686" s="9"/>
      <c r="N686" s="40"/>
      <c r="O686" s="40"/>
      <c r="P686" s="40"/>
      <c r="Q686" s="41"/>
      <c r="R686" s="41"/>
      <c r="S686" s="41"/>
      <c r="T686" s="21"/>
      <c r="U686" s="21"/>
      <c r="V686" s="42"/>
    </row>
    <row r="687">
      <c r="C687" s="9"/>
      <c r="K687" s="40"/>
      <c r="L687" s="9"/>
      <c r="M687" s="9"/>
      <c r="N687" s="40"/>
      <c r="O687" s="40"/>
      <c r="P687" s="40"/>
      <c r="Q687" s="41"/>
      <c r="R687" s="41"/>
      <c r="S687" s="41"/>
      <c r="T687" s="21"/>
      <c r="U687" s="21"/>
      <c r="V687" s="42"/>
    </row>
    <row r="688">
      <c r="C688" s="9"/>
      <c r="K688" s="40"/>
      <c r="L688" s="9"/>
      <c r="M688" s="9"/>
      <c r="N688" s="40"/>
      <c r="O688" s="40"/>
      <c r="P688" s="40"/>
      <c r="Q688" s="41"/>
      <c r="R688" s="41"/>
      <c r="S688" s="41"/>
      <c r="T688" s="21"/>
      <c r="U688" s="21"/>
      <c r="V688" s="42"/>
    </row>
    <row r="689">
      <c r="C689" s="9"/>
      <c r="K689" s="40"/>
      <c r="L689" s="9"/>
      <c r="M689" s="9"/>
      <c r="N689" s="40"/>
      <c r="O689" s="40"/>
      <c r="P689" s="40"/>
      <c r="Q689" s="41"/>
      <c r="R689" s="41"/>
      <c r="S689" s="41"/>
      <c r="T689" s="21"/>
      <c r="U689" s="21"/>
      <c r="V689" s="42"/>
    </row>
    <row r="690">
      <c r="C690" s="9"/>
      <c r="K690" s="40"/>
      <c r="L690" s="9"/>
      <c r="M690" s="9"/>
      <c r="N690" s="40"/>
      <c r="O690" s="40"/>
      <c r="P690" s="40"/>
      <c r="Q690" s="41"/>
      <c r="R690" s="41"/>
      <c r="S690" s="41"/>
      <c r="T690" s="21"/>
      <c r="U690" s="21"/>
      <c r="V690" s="42"/>
    </row>
    <row r="691">
      <c r="C691" s="9"/>
      <c r="K691" s="40"/>
      <c r="L691" s="9"/>
      <c r="M691" s="9"/>
      <c r="N691" s="40"/>
      <c r="O691" s="40"/>
      <c r="P691" s="40"/>
      <c r="Q691" s="41"/>
      <c r="R691" s="41"/>
      <c r="S691" s="41"/>
      <c r="T691" s="21"/>
      <c r="U691" s="21"/>
      <c r="V691" s="42"/>
    </row>
    <row r="692">
      <c r="C692" s="9"/>
      <c r="K692" s="40"/>
      <c r="L692" s="9"/>
      <c r="M692" s="9"/>
      <c r="N692" s="40"/>
      <c r="O692" s="40"/>
      <c r="P692" s="40"/>
      <c r="Q692" s="41"/>
      <c r="R692" s="41"/>
      <c r="S692" s="41"/>
      <c r="T692" s="21"/>
      <c r="U692" s="21"/>
      <c r="V692" s="42"/>
    </row>
    <row r="693">
      <c r="C693" s="9"/>
      <c r="K693" s="40"/>
      <c r="L693" s="9"/>
      <c r="M693" s="9"/>
      <c r="N693" s="40"/>
      <c r="O693" s="40"/>
      <c r="P693" s="40"/>
      <c r="Q693" s="41"/>
      <c r="R693" s="41"/>
      <c r="S693" s="41"/>
      <c r="T693" s="21"/>
      <c r="U693" s="21"/>
      <c r="V693" s="42"/>
    </row>
    <row r="694">
      <c r="C694" s="9"/>
      <c r="K694" s="40"/>
      <c r="L694" s="9"/>
      <c r="M694" s="9"/>
      <c r="N694" s="40"/>
      <c r="O694" s="40"/>
      <c r="P694" s="40"/>
      <c r="Q694" s="41"/>
      <c r="R694" s="41"/>
      <c r="S694" s="41"/>
      <c r="T694" s="21"/>
      <c r="U694" s="21"/>
      <c r="V694" s="42"/>
    </row>
    <row r="695">
      <c r="C695" s="9"/>
      <c r="K695" s="40"/>
      <c r="L695" s="9"/>
      <c r="M695" s="9"/>
      <c r="N695" s="40"/>
      <c r="O695" s="40"/>
      <c r="P695" s="40"/>
      <c r="Q695" s="41"/>
      <c r="R695" s="41"/>
      <c r="S695" s="41"/>
      <c r="T695" s="21"/>
      <c r="U695" s="21"/>
      <c r="V695" s="42"/>
    </row>
    <row r="696">
      <c r="C696" s="9"/>
      <c r="K696" s="40"/>
      <c r="L696" s="9"/>
      <c r="M696" s="9"/>
      <c r="N696" s="40"/>
      <c r="O696" s="40"/>
      <c r="P696" s="40"/>
      <c r="Q696" s="41"/>
      <c r="R696" s="41"/>
      <c r="S696" s="41"/>
      <c r="T696" s="21"/>
      <c r="U696" s="21"/>
      <c r="V696" s="42"/>
    </row>
    <row r="697">
      <c r="C697" s="9"/>
      <c r="K697" s="40"/>
      <c r="L697" s="9"/>
      <c r="M697" s="9"/>
      <c r="N697" s="40"/>
      <c r="O697" s="40"/>
      <c r="P697" s="40"/>
      <c r="Q697" s="41"/>
      <c r="R697" s="41"/>
      <c r="S697" s="41"/>
      <c r="T697" s="21"/>
      <c r="U697" s="21"/>
      <c r="V697" s="42"/>
    </row>
    <row r="698">
      <c r="C698" s="9"/>
      <c r="K698" s="40"/>
      <c r="L698" s="9"/>
      <c r="M698" s="9"/>
      <c r="N698" s="40"/>
      <c r="O698" s="40"/>
      <c r="P698" s="40"/>
      <c r="Q698" s="41"/>
      <c r="R698" s="41"/>
      <c r="S698" s="41"/>
      <c r="T698" s="21"/>
      <c r="U698" s="21"/>
      <c r="V698" s="42"/>
    </row>
    <row r="699">
      <c r="C699" s="9"/>
      <c r="K699" s="40"/>
      <c r="L699" s="9"/>
      <c r="M699" s="9"/>
      <c r="N699" s="40"/>
      <c r="O699" s="40"/>
      <c r="P699" s="40"/>
      <c r="Q699" s="41"/>
      <c r="R699" s="41"/>
      <c r="S699" s="41"/>
      <c r="T699" s="21"/>
      <c r="U699" s="21"/>
      <c r="V699" s="42"/>
    </row>
    <row r="700">
      <c r="C700" s="9"/>
      <c r="K700" s="40"/>
      <c r="L700" s="9"/>
      <c r="M700" s="9"/>
      <c r="N700" s="40"/>
      <c r="O700" s="40"/>
      <c r="P700" s="40"/>
      <c r="Q700" s="41"/>
      <c r="R700" s="41"/>
      <c r="S700" s="41"/>
      <c r="T700" s="21"/>
      <c r="U700" s="21"/>
      <c r="V700" s="42"/>
    </row>
    <row r="701">
      <c r="C701" s="9"/>
      <c r="K701" s="40"/>
      <c r="L701" s="9"/>
      <c r="M701" s="9"/>
      <c r="N701" s="40"/>
      <c r="O701" s="40"/>
      <c r="P701" s="40"/>
      <c r="Q701" s="41"/>
      <c r="R701" s="41"/>
      <c r="S701" s="41"/>
      <c r="T701" s="21"/>
      <c r="U701" s="21"/>
      <c r="V701" s="42"/>
    </row>
    <row r="702">
      <c r="C702" s="9"/>
      <c r="K702" s="40"/>
      <c r="L702" s="9"/>
      <c r="M702" s="9"/>
      <c r="N702" s="40"/>
      <c r="O702" s="40"/>
      <c r="P702" s="40"/>
      <c r="Q702" s="41"/>
      <c r="R702" s="41"/>
      <c r="S702" s="41"/>
      <c r="T702" s="21"/>
      <c r="U702" s="21"/>
      <c r="V702" s="42"/>
    </row>
    <row r="703">
      <c r="C703" s="9"/>
      <c r="K703" s="40"/>
      <c r="L703" s="9"/>
      <c r="M703" s="9"/>
      <c r="N703" s="40"/>
      <c r="O703" s="40"/>
      <c r="P703" s="40"/>
      <c r="Q703" s="41"/>
      <c r="R703" s="41"/>
      <c r="S703" s="41"/>
      <c r="T703" s="21"/>
      <c r="U703" s="21"/>
      <c r="V703" s="42"/>
    </row>
    <row r="704">
      <c r="C704" s="9"/>
      <c r="K704" s="40"/>
      <c r="L704" s="9"/>
      <c r="M704" s="9"/>
      <c r="N704" s="40"/>
      <c r="O704" s="40"/>
      <c r="P704" s="40"/>
      <c r="Q704" s="41"/>
      <c r="R704" s="41"/>
      <c r="S704" s="41"/>
      <c r="T704" s="21"/>
      <c r="U704" s="21"/>
      <c r="V704" s="42"/>
    </row>
    <row r="705">
      <c r="C705" s="9"/>
      <c r="K705" s="40"/>
      <c r="L705" s="9"/>
      <c r="M705" s="9"/>
      <c r="N705" s="40"/>
      <c r="O705" s="40"/>
      <c r="P705" s="40"/>
      <c r="Q705" s="41"/>
      <c r="R705" s="41"/>
      <c r="S705" s="41"/>
      <c r="T705" s="21"/>
      <c r="U705" s="21"/>
      <c r="V705" s="42"/>
    </row>
    <row r="706">
      <c r="C706" s="9"/>
      <c r="K706" s="40"/>
      <c r="L706" s="9"/>
      <c r="M706" s="9"/>
      <c r="N706" s="40"/>
      <c r="O706" s="40"/>
      <c r="P706" s="40"/>
      <c r="Q706" s="41"/>
      <c r="R706" s="41"/>
      <c r="S706" s="41"/>
      <c r="T706" s="21"/>
      <c r="U706" s="21"/>
      <c r="V706" s="42"/>
    </row>
    <row r="707">
      <c r="C707" s="9"/>
      <c r="K707" s="40"/>
      <c r="L707" s="9"/>
      <c r="M707" s="9"/>
      <c r="N707" s="40"/>
      <c r="O707" s="40"/>
      <c r="P707" s="40"/>
      <c r="Q707" s="41"/>
      <c r="R707" s="41"/>
      <c r="S707" s="41"/>
      <c r="T707" s="21"/>
      <c r="U707" s="21"/>
      <c r="V707" s="42"/>
    </row>
    <row r="708">
      <c r="C708" s="9"/>
      <c r="K708" s="40"/>
      <c r="L708" s="9"/>
      <c r="M708" s="9"/>
      <c r="N708" s="40"/>
      <c r="O708" s="40"/>
      <c r="P708" s="40"/>
      <c r="Q708" s="41"/>
      <c r="R708" s="41"/>
      <c r="S708" s="41"/>
      <c r="T708" s="21"/>
      <c r="U708" s="21"/>
      <c r="V708" s="42"/>
    </row>
    <row r="709">
      <c r="C709" s="9"/>
      <c r="K709" s="40"/>
      <c r="L709" s="9"/>
      <c r="M709" s="9"/>
      <c r="N709" s="40"/>
      <c r="O709" s="40"/>
      <c r="P709" s="40"/>
      <c r="Q709" s="41"/>
      <c r="R709" s="41"/>
      <c r="S709" s="41"/>
      <c r="T709" s="21"/>
      <c r="U709" s="21"/>
      <c r="V709" s="42"/>
    </row>
    <row r="710">
      <c r="C710" s="9"/>
      <c r="K710" s="40"/>
      <c r="L710" s="9"/>
      <c r="M710" s="9"/>
      <c r="N710" s="40"/>
      <c r="O710" s="40"/>
      <c r="P710" s="40"/>
      <c r="Q710" s="41"/>
      <c r="R710" s="41"/>
      <c r="S710" s="41"/>
      <c r="T710" s="21"/>
      <c r="U710" s="21"/>
      <c r="V710" s="42"/>
    </row>
    <row r="711">
      <c r="C711" s="9"/>
      <c r="K711" s="40"/>
      <c r="L711" s="9"/>
      <c r="M711" s="9"/>
      <c r="N711" s="40"/>
      <c r="O711" s="40"/>
      <c r="P711" s="40"/>
      <c r="Q711" s="41"/>
      <c r="R711" s="41"/>
      <c r="S711" s="41"/>
      <c r="T711" s="21"/>
      <c r="U711" s="21"/>
      <c r="V711" s="42"/>
    </row>
    <row r="712">
      <c r="C712" s="9"/>
      <c r="K712" s="40"/>
      <c r="L712" s="9"/>
      <c r="M712" s="9"/>
      <c r="N712" s="40"/>
      <c r="O712" s="40"/>
      <c r="P712" s="40"/>
      <c r="Q712" s="41"/>
      <c r="R712" s="41"/>
      <c r="S712" s="41"/>
      <c r="T712" s="21"/>
      <c r="U712" s="21"/>
      <c r="V712" s="42"/>
    </row>
    <row r="713">
      <c r="C713" s="9"/>
      <c r="K713" s="40"/>
      <c r="L713" s="9"/>
      <c r="M713" s="9"/>
      <c r="N713" s="40"/>
      <c r="O713" s="40"/>
      <c r="P713" s="40"/>
      <c r="Q713" s="41"/>
      <c r="R713" s="41"/>
      <c r="S713" s="41"/>
      <c r="T713" s="21"/>
      <c r="U713" s="21"/>
      <c r="V713" s="42"/>
    </row>
    <row r="714">
      <c r="C714" s="9"/>
      <c r="K714" s="40"/>
      <c r="L714" s="9"/>
      <c r="M714" s="9"/>
      <c r="N714" s="40"/>
      <c r="O714" s="40"/>
      <c r="P714" s="40"/>
      <c r="Q714" s="41"/>
      <c r="R714" s="41"/>
      <c r="S714" s="41"/>
      <c r="T714" s="21"/>
      <c r="U714" s="21"/>
      <c r="V714" s="42"/>
    </row>
    <row r="715">
      <c r="C715" s="9"/>
      <c r="K715" s="40"/>
      <c r="L715" s="9"/>
      <c r="M715" s="9"/>
      <c r="N715" s="40"/>
      <c r="O715" s="40"/>
      <c r="P715" s="40"/>
      <c r="Q715" s="41"/>
      <c r="R715" s="41"/>
      <c r="S715" s="41"/>
      <c r="T715" s="21"/>
      <c r="U715" s="21"/>
      <c r="V715" s="42"/>
    </row>
    <row r="716">
      <c r="C716" s="9"/>
      <c r="K716" s="40"/>
      <c r="L716" s="9"/>
      <c r="M716" s="9"/>
      <c r="N716" s="40"/>
      <c r="O716" s="40"/>
      <c r="P716" s="40"/>
      <c r="Q716" s="41"/>
      <c r="R716" s="41"/>
      <c r="S716" s="41"/>
      <c r="T716" s="21"/>
      <c r="U716" s="21"/>
      <c r="V716" s="42"/>
    </row>
    <row r="717">
      <c r="C717" s="9"/>
      <c r="K717" s="40"/>
      <c r="L717" s="9"/>
      <c r="M717" s="9"/>
      <c r="N717" s="40"/>
      <c r="O717" s="40"/>
      <c r="P717" s="40"/>
      <c r="Q717" s="41"/>
      <c r="R717" s="41"/>
      <c r="S717" s="41"/>
      <c r="T717" s="21"/>
      <c r="U717" s="21"/>
      <c r="V717" s="42"/>
    </row>
    <row r="718">
      <c r="C718" s="9"/>
      <c r="K718" s="40"/>
      <c r="L718" s="9"/>
      <c r="M718" s="9"/>
      <c r="N718" s="40"/>
      <c r="O718" s="40"/>
      <c r="P718" s="40"/>
      <c r="Q718" s="41"/>
      <c r="R718" s="41"/>
      <c r="S718" s="41"/>
      <c r="T718" s="21"/>
      <c r="U718" s="21"/>
      <c r="V718" s="42"/>
    </row>
    <row r="719">
      <c r="C719" s="9"/>
      <c r="K719" s="40"/>
      <c r="L719" s="9"/>
      <c r="M719" s="9"/>
      <c r="N719" s="40"/>
      <c r="O719" s="40"/>
      <c r="P719" s="40"/>
      <c r="Q719" s="41"/>
      <c r="R719" s="41"/>
      <c r="S719" s="41"/>
      <c r="T719" s="21"/>
      <c r="U719" s="21"/>
      <c r="V719" s="42"/>
    </row>
    <row r="720">
      <c r="C720" s="9"/>
      <c r="K720" s="40"/>
      <c r="L720" s="9"/>
      <c r="M720" s="9"/>
      <c r="N720" s="40"/>
      <c r="O720" s="40"/>
      <c r="P720" s="40"/>
      <c r="Q720" s="41"/>
      <c r="R720" s="41"/>
      <c r="S720" s="41"/>
      <c r="T720" s="21"/>
      <c r="U720" s="21"/>
      <c r="V720" s="42"/>
    </row>
    <row r="721">
      <c r="C721" s="9"/>
      <c r="K721" s="40"/>
      <c r="L721" s="9"/>
      <c r="M721" s="9"/>
      <c r="N721" s="40"/>
      <c r="O721" s="40"/>
      <c r="P721" s="40"/>
      <c r="Q721" s="41"/>
      <c r="R721" s="41"/>
      <c r="S721" s="41"/>
      <c r="T721" s="21"/>
      <c r="U721" s="21"/>
      <c r="V721" s="42"/>
    </row>
    <row r="722">
      <c r="C722" s="9"/>
      <c r="K722" s="40"/>
      <c r="L722" s="9"/>
      <c r="M722" s="9"/>
      <c r="N722" s="40"/>
      <c r="O722" s="40"/>
      <c r="P722" s="40"/>
      <c r="Q722" s="41"/>
      <c r="R722" s="41"/>
      <c r="S722" s="41"/>
      <c r="T722" s="21"/>
      <c r="U722" s="21"/>
      <c r="V722" s="42"/>
    </row>
    <row r="723">
      <c r="C723" s="9"/>
      <c r="K723" s="40"/>
      <c r="L723" s="9"/>
      <c r="M723" s="9"/>
      <c r="N723" s="40"/>
      <c r="O723" s="40"/>
      <c r="P723" s="40"/>
      <c r="Q723" s="41"/>
      <c r="R723" s="41"/>
      <c r="S723" s="41"/>
      <c r="T723" s="21"/>
      <c r="U723" s="21"/>
      <c r="V723" s="42"/>
    </row>
    <row r="724">
      <c r="C724" s="9"/>
      <c r="K724" s="40"/>
      <c r="L724" s="9"/>
      <c r="M724" s="9"/>
      <c r="N724" s="40"/>
      <c r="O724" s="40"/>
      <c r="P724" s="40"/>
      <c r="Q724" s="41"/>
      <c r="R724" s="41"/>
      <c r="S724" s="41"/>
      <c r="T724" s="21"/>
      <c r="U724" s="21"/>
      <c r="V724" s="42"/>
    </row>
    <row r="725">
      <c r="C725" s="9"/>
      <c r="K725" s="40"/>
      <c r="L725" s="9"/>
      <c r="M725" s="9"/>
      <c r="N725" s="40"/>
      <c r="O725" s="40"/>
      <c r="P725" s="40"/>
      <c r="Q725" s="41"/>
      <c r="R725" s="41"/>
      <c r="S725" s="41"/>
      <c r="T725" s="21"/>
      <c r="U725" s="21"/>
      <c r="V725" s="42"/>
    </row>
    <row r="726">
      <c r="C726" s="9"/>
      <c r="K726" s="40"/>
      <c r="L726" s="9"/>
      <c r="M726" s="9"/>
      <c r="N726" s="40"/>
      <c r="O726" s="40"/>
      <c r="P726" s="40"/>
      <c r="Q726" s="41"/>
      <c r="R726" s="41"/>
      <c r="S726" s="41"/>
      <c r="T726" s="21"/>
      <c r="U726" s="21"/>
      <c r="V726" s="42"/>
    </row>
    <row r="727">
      <c r="C727" s="9"/>
      <c r="K727" s="40"/>
      <c r="L727" s="9"/>
      <c r="M727" s="9"/>
      <c r="N727" s="40"/>
      <c r="O727" s="40"/>
      <c r="P727" s="40"/>
      <c r="Q727" s="41"/>
      <c r="R727" s="41"/>
      <c r="S727" s="41"/>
      <c r="T727" s="21"/>
      <c r="U727" s="21"/>
      <c r="V727" s="42"/>
    </row>
    <row r="728">
      <c r="C728" s="9"/>
      <c r="K728" s="40"/>
      <c r="L728" s="9"/>
      <c r="M728" s="9"/>
      <c r="N728" s="40"/>
      <c r="O728" s="40"/>
      <c r="P728" s="40"/>
      <c r="Q728" s="41"/>
      <c r="R728" s="41"/>
      <c r="S728" s="41"/>
      <c r="T728" s="21"/>
      <c r="U728" s="21"/>
      <c r="V728" s="42"/>
    </row>
    <row r="729">
      <c r="C729" s="9"/>
      <c r="K729" s="40"/>
      <c r="L729" s="9"/>
      <c r="M729" s="9"/>
      <c r="N729" s="40"/>
      <c r="O729" s="40"/>
      <c r="P729" s="40"/>
      <c r="Q729" s="41"/>
      <c r="R729" s="41"/>
      <c r="S729" s="41"/>
      <c r="T729" s="21"/>
      <c r="U729" s="21"/>
      <c r="V729" s="42"/>
    </row>
    <row r="730">
      <c r="C730" s="9"/>
      <c r="K730" s="40"/>
      <c r="L730" s="9"/>
      <c r="M730" s="9"/>
      <c r="N730" s="40"/>
      <c r="O730" s="40"/>
      <c r="P730" s="40"/>
      <c r="Q730" s="41"/>
      <c r="R730" s="41"/>
      <c r="S730" s="41"/>
      <c r="T730" s="21"/>
      <c r="U730" s="21"/>
      <c r="V730" s="42"/>
    </row>
    <row r="731">
      <c r="C731" s="9"/>
      <c r="K731" s="40"/>
      <c r="L731" s="9"/>
      <c r="M731" s="9"/>
      <c r="N731" s="40"/>
      <c r="O731" s="40"/>
      <c r="P731" s="40"/>
      <c r="Q731" s="41"/>
      <c r="R731" s="41"/>
      <c r="S731" s="41"/>
      <c r="T731" s="21"/>
      <c r="U731" s="21"/>
      <c r="V731" s="42"/>
    </row>
    <row r="732">
      <c r="C732" s="9"/>
      <c r="K732" s="40"/>
      <c r="L732" s="9"/>
      <c r="M732" s="9"/>
      <c r="N732" s="40"/>
      <c r="O732" s="40"/>
      <c r="P732" s="40"/>
      <c r="Q732" s="41"/>
      <c r="R732" s="41"/>
      <c r="S732" s="41"/>
      <c r="T732" s="21"/>
      <c r="U732" s="21"/>
      <c r="V732" s="42"/>
    </row>
    <row r="733">
      <c r="C733" s="9"/>
      <c r="K733" s="40"/>
      <c r="L733" s="9"/>
      <c r="M733" s="9"/>
      <c r="N733" s="40"/>
      <c r="O733" s="40"/>
      <c r="P733" s="40"/>
      <c r="Q733" s="41"/>
      <c r="R733" s="41"/>
      <c r="S733" s="41"/>
      <c r="T733" s="21"/>
      <c r="U733" s="21"/>
      <c r="V733" s="42"/>
    </row>
    <row r="734">
      <c r="C734" s="9"/>
      <c r="K734" s="40"/>
      <c r="L734" s="9"/>
      <c r="M734" s="9"/>
      <c r="N734" s="40"/>
      <c r="O734" s="40"/>
      <c r="P734" s="40"/>
      <c r="Q734" s="41"/>
      <c r="R734" s="41"/>
      <c r="S734" s="41"/>
      <c r="T734" s="21"/>
      <c r="U734" s="21"/>
      <c r="V734" s="42"/>
    </row>
    <row r="735">
      <c r="C735" s="9"/>
      <c r="K735" s="40"/>
      <c r="L735" s="9"/>
      <c r="M735" s="9"/>
      <c r="N735" s="40"/>
      <c r="O735" s="40"/>
      <c r="P735" s="40"/>
      <c r="Q735" s="41"/>
      <c r="R735" s="41"/>
      <c r="S735" s="41"/>
      <c r="T735" s="21"/>
      <c r="U735" s="21"/>
      <c r="V735" s="42"/>
    </row>
    <row r="736">
      <c r="C736" s="9"/>
      <c r="K736" s="40"/>
      <c r="L736" s="9"/>
      <c r="M736" s="9"/>
      <c r="N736" s="40"/>
      <c r="O736" s="40"/>
      <c r="P736" s="40"/>
      <c r="Q736" s="41"/>
      <c r="R736" s="41"/>
      <c r="S736" s="41"/>
      <c r="T736" s="21"/>
      <c r="U736" s="21"/>
      <c r="V736" s="42"/>
    </row>
    <row r="737">
      <c r="C737" s="9"/>
      <c r="K737" s="40"/>
      <c r="L737" s="9"/>
      <c r="M737" s="9"/>
      <c r="N737" s="40"/>
      <c r="O737" s="40"/>
      <c r="P737" s="40"/>
      <c r="Q737" s="41"/>
      <c r="R737" s="41"/>
      <c r="S737" s="41"/>
      <c r="T737" s="21"/>
      <c r="U737" s="21"/>
      <c r="V737" s="42"/>
    </row>
    <row r="738">
      <c r="C738" s="9"/>
      <c r="K738" s="40"/>
      <c r="L738" s="9"/>
      <c r="M738" s="9"/>
      <c r="N738" s="40"/>
      <c r="O738" s="40"/>
      <c r="P738" s="40"/>
      <c r="Q738" s="41"/>
      <c r="R738" s="41"/>
      <c r="S738" s="41"/>
      <c r="T738" s="21"/>
      <c r="U738" s="21"/>
      <c r="V738" s="42"/>
    </row>
    <row r="739">
      <c r="C739" s="9"/>
      <c r="K739" s="40"/>
      <c r="L739" s="9"/>
      <c r="M739" s="9"/>
      <c r="N739" s="40"/>
      <c r="O739" s="40"/>
      <c r="P739" s="40"/>
      <c r="Q739" s="41"/>
      <c r="R739" s="41"/>
      <c r="S739" s="41"/>
      <c r="T739" s="21"/>
      <c r="U739" s="21"/>
      <c r="V739" s="42"/>
    </row>
    <row r="740">
      <c r="C740" s="9"/>
      <c r="K740" s="40"/>
      <c r="L740" s="9"/>
      <c r="M740" s="9"/>
      <c r="N740" s="40"/>
      <c r="O740" s="40"/>
      <c r="P740" s="40"/>
      <c r="Q740" s="41"/>
      <c r="R740" s="41"/>
      <c r="S740" s="41"/>
      <c r="T740" s="21"/>
      <c r="U740" s="21"/>
      <c r="V740" s="42"/>
    </row>
    <row r="741">
      <c r="C741" s="9"/>
      <c r="K741" s="40"/>
      <c r="L741" s="9"/>
      <c r="M741" s="9"/>
      <c r="N741" s="40"/>
      <c r="O741" s="40"/>
      <c r="P741" s="40"/>
      <c r="Q741" s="41"/>
      <c r="R741" s="41"/>
      <c r="S741" s="41"/>
      <c r="T741" s="21"/>
      <c r="U741" s="21"/>
      <c r="V741" s="42"/>
    </row>
    <row r="742">
      <c r="C742" s="9"/>
      <c r="K742" s="40"/>
      <c r="L742" s="9"/>
      <c r="M742" s="9"/>
      <c r="N742" s="40"/>
      <c r="O742" s="40"/>
      <c r="P742" s="40"/>
      <c r="Q742" s="41"/>
      <c r="R742" s="41"/>
      <c r="S742" s="41"/>
      <c r="T742" s="21"/>
      <c r="U742" s="21"/>
      <c r="V742" s="42"/>
    </row>
    <row r="743">
      <c r="C743" s="9"/>
      <c r="K743" s="40"/>
      <c r="L743" s="9"/>
      <c r="M743" s="9"/>
      <c r="N743" s="40"/>
      <c r="O743" s="40"/>
      <c r="P743" s="40"/>
      <c r="Q743" s="41"/>
      <c r="R743" s="41"/>
      <c r="S743" s="41"/>
      <c r="T743" s="21"/>
      <c r="U743" s="21"/>
      <c r="V743" s="42"/>
    </row>
    <row r="744">
      <c r="C744" s="9"/>
      <c r="K744" s="40"/>
      <c r="L744" s="9"/>
      <c r="M744" s="9"/>
      <c r="N744" s="40"/>
      <c r="O744" s="40"/>
      <c r="P744" s="40"/>
      <c r="Q744" s="41"/>
      <c r="R744" s="41"/>
      <c r="S744" s="41"/>
      <c r="T744" s="21"/>
      <c r="U744" s="21"/>
      <c r="V744" s="42"/>
    </row>
    <row r="745">
      <c r="C745" s="9"/>
      <c r="K745" s="40"/>
      <c r="L745" s="9"/>
      <c r="M745" s="9"/>
      <c r="N745" s="40"/>
      <c r="O745" s="40"/>
      <c r="P745" s="40"/>
      <c r="Q745" s="41"/>
      <c r="R745" s="41"/>
      <c r="S745" s="41"/>
      <c r="T745" s="21"/>
      <c r="U745" s="21"/>
      <c r="V745" s="42"/>
    </row>
    <row r="746">
      <c r="C746" s="9"/>
      <c r="K746" s="40"/>
      <c r="L746" s="9"/>
      <c r="M746" s="9"/>
      <c r="N746" s="40"/>
      <c r="O746" s="40"/>
      <c r="P746" s="40"/>
      <c r="Q746" s="41"/>
      <c r="R746" s="41"/>
      <c r="S746" s="41"/>
      <c r="T746" s="21"/>
      <c r="U746" s="21"/>
      <c r="V746" s="42"/>
    </row>
    <row r="747">
      <c r="C747" s="9"/>
      <c r="K747" s="40"/>
      <c r="L747" s="9"/>
      <c r="M747" s="9"/>
      <c r="N747" s="40"/>
      <c r="O747" s="40"/>
      <c r="P747" s="40"/>
      <c r="Q747" s="41"/>
      <c r="R747" s="41"/>
      <c r="S747" s="41"/>
      <c r="T747" s="21"/>
      <c r="U747" s="21"/>
      <c r="V747" s="42"/>
    </row>
    <row r="748">
      <c r="C748" s="9"/>
      <c r="K748" s="40"/>
      <c r="L748" s="9"/>
      <c r="M748" s="9"/>
      <c r="N748" s="40"/>
      <c r="O748" s="40"/>
      <c r="P748" s="40"/>
      <c r="Q748" s="41"/>
      <c r="R748" s="41"/>
      <c r="S748" s="41"/>
      <c r="T748" s="21"/>
      <c r="U748" s="21"/>
      <c r="V748" s="42"/>
    </row>
    <row r="749">
      <c r="C749" s="9"/>
      <c r="K749" s="40"/>
      <c r="L749" s="9"/>
      <c r="M749" s="9"/>
      <c r="N749" s="40"/>
      <c r="O749" s="40"/>
      <c r="P749" s="40"/>
      <c r="Q749" s="41"/>
      <c r="R749" s="41"/>
      <c r="S749" s="41"/>
      <c r="T749" s="21"/>
      <c r="U749" s="21"/>
      <c r="V749" s="42"/>
    </row>
    <row r="750">
      <c r="C750" s="9"/>
      <c r="K750" s="40"/>
      <c r="L750" s="9"/>
      <c r="M750" s="9"/>
      <c r="N750" s="40"/>
      <c r="O750" s="40"/>
      <c r="P750" s="40"/>
      <c r="Q750" s="41"/>
      <c r="R750" s="41"/>
      <c r="S750" s="41"/>
      <c r="T750" s="21"/>
      <c r="U750" s="21"/>
      <c r="V750" s="42"/>
    </row>
    <row r="751">
      <c r="C751" s="9"/>
      <c r="K751" s="40"/>
      <c r="L751" s="9"/>
      <c r="M751" s="9"/>
      <c r="N751" s="40"/>
      <c r="O751" s="40"/>
      <c r="P751" s="40"/>
      <c r="Q751" s="41"/>
      <c r="R751" s="41"/>
      <c r="S751" s="41"/>
      <c r="T751" s="21"/>
      <c r="U751" s="21"/>
      <c r="V751" s="42"/>
    </row>
    <row r="752">
      <c r="C752" s="9"/>
      <c r="K752" s="40"/>
      <c r="L752" s="9"/>
      <c r="M752" s="9"/>
      <c r="N752" s="40"/>
      <c r="O752" s="40"/>
      <c r="P752" s="40"/>
      <c r="Q752" s="41"/>
      <c r="R752" s="41"/>
      <c r="S752" s="41"/>
      <c r="T752" s="21"/>
      <c r="U752" s="21"/>
      <c r="V752" s="42"/>
    </row>
    <row r="753">
      <c r="C753" s="9"/>
      <c r="K753" s="40"/>
      <c r="L753" s="9"/>
      <c r="M753" s="9"/>
      <c r="N753" s="40"/>
      <c r="O753" s="40"/>
      <c r="P753" s="40"/>
      <c r="Q753" s="41"/>
      <c r="R753" s="41"/>
      <c r="S753" s="41"/>
      <c r="T753" s="21"/>
      <c r="U753" s="21"/>
      <c r="V753" s="42"/>
    </row>
    <row r="754">
      <c r="C754" s="9"/>
      <c r="K754" s="40"/>
      <c r="L754" s="9"/>
      <c r="M754" s="9"/>
      <c r="N754" s="40"/>
      <c r="O754" s="40"/>
      <c r="P754" s="40"/>
      <c r="Q754" s="41"/>
      <c r="R754" s="41"/>
      <c r="S754" s="41"/>
      <c r="T754" s="21"/>
      <c r="U754" s="21"/>
      <c r="V754" s="42"/>
    </row>
    <row r="755">
      <c r="C755" s="9"/>
      <c r="K755" s="40"/>
      <c r="L755" s="9"/>
      <c r="M755" s="9"/>
      <c r="N755" s="40"/>
      <c r="O755" s="40"/>
      <c r="P755" s="40"/>
      <c r="Q755" s="41"/>
      <c r="R755" s="41"/>
      <c r="S755" s="41"/>
      <c r="T755" s="21"/>
      <c r="U755" s="21"/>
      <c r="V755" s="42"/>
    </row>
    <row r="756">
      <c r="C756" s="9"/>
      <c r="K756" s="40"/>
      <c r="L756" s="9"/>
      <c r="M756" s="9"/>
      <c r="N756" s="40"/>
      <c r="O756" s="40"/>
      <c r="P756" s="40"/>
      <c r="Q756" s="41"/>
      <c r="R756" s="41"/>
      <c r="S756" s="41"/>
      <c r="T756" s="21"/>
      <c r="U756" s="21"/>
      <c r="V756" s="42"/>
    </row>
    <row r="757">
      <c r="C757" s="9"/>
      <c r="K757" s="40"/>
      <c r="L757" s="9"/>
      <c r="M757" s="9"/>
      <c r="N757" s="40"/>
      <c r="O757" s="40"/>
      <c r="P757" s="40"/>
      <c r="Q757" s="41"/>
      <c r="R757" s="41"/>
      <c r="S757" s="41"/>
      <c r="T757" s="21"/>
      <c r="U757" s="21"/>
      <c r="V757" s="42"/>
    </row>
    <row r="758">
      <c r="C758" s="9"/>
      <c r="K758" s="40"/>
      <c r="L758" s="9"/>
      <c r="M758" s="9"/>
      <c r="N758" s="40"/>
      <c r="O758" s="40"/>
      <c r="P758" s="40"/>
      <c r="Q758" s="41"/>
      <c r="R758" s="41"/>
      <c r="S758" s="41"/>
      <c r="T758" s="21"/>
      <c r="U758" s="21"/>
      <c r="V758" s="42"/>
    </row>
    <row r="759">
      <c r="C759" s="9"/>
      <c r="K759" s="40"/>
      <c r="L759" s="9"/>
      <c r="M759" s="9"/>
      <c r="N759" s="40"/>
      <c r="O759" s="40"/>
      <c r="P759" s="40"/>
      <c r="Q759" s="41"/>
      <c r="R759" s="41"/>
      <c r="S759" s="41"/>
      <c r="T759" s="21"/>
      <c r="U759" s="21"/>
      <c r="V759" s="42"/>
    </row>
    <row r="760">
      <c r="C760" s="9"/>
      <c r="K760" s="40"/>
      <c r="L760" s="9"/>
      <c r="M760" s="9"/>
      <c r="N760" s="40"/>
      <c r="O760" s="40"/>
      <c r="P760" s="40"/>
      <c r="Q760" s="41"/>
      <c r="R760" s="41"/>
      <c r="S760" s="41"/>
      <c r="T760" s="21"/>
      <c r="U760" s="21"/>
      <c r="V760" s="42"/>
    </row>
    <row r="761">
      <c r="C761" s="9"/>
      <c r="K761" s="40"/>
      <c r="L761" s="9"/>
      <c r="M761" s="9"/>
      <c r="N761" s="40"/>
      <c r="O761" s="40"/>
      <c r="P761" s="40"/>
      <c r="Q761" s="41"/>
      <c r="R761" s="41"/>
      <c r="S761" s="41"/>
      <c r="T761" s="21"/>
      <c r="U761" s="21"/>
      <c r="V761" s="42"/>
    </row>
    <row r="762">
      <c r="C762" s="9"/>
      <c r="K762" s="40"/>
      <c r="L762" s="9"/>
      <c r="M762" s="9"/>
      <c r="N762" s="40"/>
      <c r="O762" s="40"/>
      <c r="P762" s="40"/>
      <c r="Q762" s="41"/>
      <c r="R762" s="41"/>
      <c r="S762" s="41"/>
      <c r="T762" s="21"/>
      <c r="U762" s="21"/>
      <c r="V762" s="42"/>
    </row>
    <row r="763">
      <c r="C763" s="9"/>
      <c r="K763" s="40"/>
      <c r="L763" s="9"/>
      <c r="M763" s="9"/>
      <c r="N763" s="40"/>
      <c r="O763" s="40"/>
      <c r="P763" s="40"/>
      <c r="Q763" s="41"/>
      <c r="R763" s="41"/>
      <c r="S763" s="41"/>
      <c r="T763" s="21"/>
      <c r="U763" s="21"/>
      <c r="V763" s="42"/>
    </row>
    <row r="764">
      <c r="C764" s="9"/>
      <c r="K764" s="40"/>
      <c r="L764" s="9"/>
      <c r="M764" s="9"/>
      <c r="N764" s="40"/>
      <c r="O764" s="40"/>
      <c r="P764" s="40"/>
      <c r="Q764" s="41"/>
      <c r="R764" s="41"/>
      <c r="S764" s="41"/>
      <c r="T764" s="21"/>
      <c r="U764" s="21"/>
      <c r="V764" s="42"/>
    </row>
    <row r="765">
      <c r="C765" s="9"/>
      <c r="K765" s="40"/>
      <c r="L765" s="9"/>
      <c r="M765" s="9"/>
      <c r="N765" s="40"/>
      <c r="O765" s="40"/>
      <c r="P765" s="40"/>
      <c r="Q765" s="41"/>
      <c r="R765" s="41"/>
      <c r="S765" s="41"/>
      <c r="T765" s="21"/>
      <c r="U765" s="21"/>
      <c r="V765" s="42"/>
    </row>
    <row r="766">
      <c r="C766" s="9"/>
      <c r="K766" s="40"/>
      <c r="L766" s="9"/>
      <c r="M766" s="9"/>
      <c r="N766" s="40"/>
      <c r="O766" s="40"/>
      <c r="P766" s="40"/>
      <c r="Q766" s="41"/>
      <c r="R766" s="41"/>
      <c r="S766" s="41"/>
      <c r="T766" s="21"/>
      <c r="U766" s="21"/>
      <c r="V766" s="42"/>
    </row>
    <row r="767">
      <c r="C767" s="9"/>
      <c r="K767" s="40"/>
      <c r="L767" s="9"/>
      <c r="M767" s="9"/>
      <c r="N767" s="40"/>
      <c r="O767" s="40"/>
      <c r="P767" s="40"/>
      <c r="Q767" s="41"/>
      <c r="R767" s="41"/>
      <c r="S767" s="41"/>
      <c r="T767" s="21"/>
      <c r="U767" s="21"/>
      <c r="V767" s="42"/>
    </row>
    <row r="768">
      <c r="C768" s="9"/>
      <c r="K768" s="40"/>
      <c r="L768" s="9"/>
      <c r="M768" s="9"/>
      <c r="N768" s="40"/>
      <c r="O768" s="40"/>
      <c r="P768" s="40"/>
      <c r="Q768" s="41"/>
      <c r="R768" s="41"/>
      <c r="S768" s="41"/>
      <c r="T768" s="21"/>
      <c r="U768" s="21"/>
      <c r="V768" s="42"/>
    </row>
    <row r="769">
      <c r="C769" s="9"/>
      <c r="K769" s="40"/>
      <c r="L769" s="9"/>
      <c r="M769" s="9"/>
      <c r="N769" s="40"/>
      <c r="O769" s="40"/>
      <c r="P769" s="40"/>
      <c r="Q769" s="41"/>
      <c r="R769" s="41"/>
      <c r="S769" s="41"/>
      <c r="T769" s="21"/>
      <c r="U769" s="21"/>
      <c r="V769" s="42"/>
    </row>
    <row r="770">
      <c r="C770" s="9"/>
      <c r="K770" s="40"/>
      <c r="L770" s="9"/>
      <c r="M770" s="9"/>
      <c r="N770" s="40"/>
      <c r="O770" s="40"/>
      <c r="P770" s="40"/>
      <c r="Q770" s="41"/>
      <c r="R770" s="41"/>
      <c r="S770" s="41"/>
      <c r="T770" s="21"/>
      <c r="U770" s="21"/>
      <c r="V770" s="42"/>
    </row>
    <row r="771">
      <c r="C771" s="9"/>
      <c r="K771" s="40"/>
      <c r="L771" s="9"/>
      <c r="M771" s="9"/>
      <c r="N771" s="40"/>
      <c r="O771" s="40"/>
      <c r="P771" s="40"/>
      <c r="Q771" s="41"/>
      <c r="R771" s="41"/>
      <c r="S771" s="41"/>
      <c r="T771" s="21"/>
      <c r="U771" s="21"/>
      <c r="V771" s="42"/>
    </row>
    <row r="772">
      <c r="C772" s="9"/>
      <c r="K772" s="40"/>
      <c r="L772" s="9"/>
      <c r="M772" s="9"/>
      <c r="N772" s="40"/>
      <c r="O772" s="40"/>
      <c r="P772" s="40"/>
      <c r="Q772" s="41"/>
      <c r="R772" s="41"/>
      <c r="S772" s="41"/>
      <c r="T772" s="21"/>
      <c r="U772" s="21"/>
      <c r="V772" s="42"/>
    </row>
    <row r="773">
      <c r="C773" s="9"/>
      <c r="K773" s="40"/>
      <c r="L773" s="9"/>
      <c r="M773" s="9"/>
      <c r="N773" s="40"/>
      <c r="O773" s="40"/>
      <c r="P773" s="40"/>
      <c r="Q773" s="41"/>
      <c r="R773" s="41"/>
      <c r="S773" s="41"/>
      <c r="T773" s="21"/>
      <c r="U773" s="21"/>
      <c r="V773" s="42"/>
    </row>
    <row r="774">
      <c r="C774" s="9"/>
      <c r="K774" s="40"/>
      <c r="L774" s="9"/>
      <c r="M774" s="9"/>
      <c r="N774" s="40"/>
      <c r="O774" s="40"/>
      <c r="P774" s="40"/>
      <c r="Q774" s="41"/>
      <c r="R774" s="41"/>
      <c r="S774" s="41"/>
      <c r="T774" s="21"/>
      <c r="U774" s="21"/>
      <c r="V774" s="42"/>
    </row>
    <row r="775">
      <c r="C775" s="9"/>
      <c r="K775" s="40"/>
      <c r="L775" s="9"/>
      <c r="M775" s="9"/>
      <c r="N775" s="40"/>
      <c r="O775" s="40"/>
      <c r="P775" s="40"/>
      <c r="Q775" s="41"/>
      <c r="R775" s="41"/>
      <c r="S775" s="41"/>
      <c r="T775" s="21"/>
      <c r="U775" s="21"/>
      <c r="V775" s="42"/>
    </row>
    <row r="776">
      <c r="C776" s="9"/>
      <c r="K776" s="40"/>
      <c r="L776" s="9"/>
      <c r="M776" s="9"/>
      <c r="N776" s="40"/>
      <c r="O776" s="40"/>
      <c r="P776" s="40"/>
      <c r="Q776" s="41"/>
      <c r="R776" s="41"/>
      <c r="S776" s="41"/>
      <c r="T776" s="21"/>
      <c r="U776" s="21"/>
      <c r="V776" s="42"/>
    </row>
    <row r="777">
      <c r="C777" s="9"/>
      <c r="K777" s="40"/>
      <c r="L777" s="9"/>
      <c r="M777" s="9"/>
      <c r="N777" s="40"/>
      <c r="O777" s="40"/>
      <c r="P777" s="40"/>
      <c r="Q777" s="41"/>
      <c r="R777" s="41"/>
      <c r="S777" s="41"/>
      <c r="T777" s="21"/>
      <c r="U777" s="21"/>
      <c r="V777" s="42"/>
    </row>
    <row r="778">
      <c r="C778" s="9"/>
      <c r="K778" s="40"/>
      <c r="L778" s="9"/>
      <c r="M778" s="9"/>
      <c r="N778" s="40"/>
      <c r="O778" s="40"/>
      <c r="P778" s="40"/>
      <c r="Q778" s="41"/>
      <c r="R778" s="41"/>
      <c r="S778" s="41"/>
      <c r="T778" s="21"/>
      <c r="U778" s="21"/>
      <c r="V778" s="42"/>
    </row>
    <row r="779">
      <c r="C779" s="9"/>
      <c r="K779" s="40"/>
      <c r="L779" s="9"/>
      <c r="M779" s="9"/>
      <c r="N779" s="40"/>
      <c r="O779" s="40"/>
      <c r="P779" s="40"/>
      <c r="Q779" s="41"/>
      <c r="R779" s="41"/>
      <c r="S779" s="41"/>
      <c r="T779" s="21"/>
      <c r="U779" s="21"/>
      <c r="V779" s="42"/>
    </row>
    <row r="780">
      <c r="C780" s="9"/>
      <c r="K780" s="40"/>
      <c r="L780" s="9"/>
      <c r="M780" s="9"/>
      <c r="N780" s="40"/>
      <c r="O780" s="40"/>
      <c r="P780" s="40"/>
      <c r="Q780" s="41"/>
      <c r="R780" s="41"/>
      <c r="S780" s="41"/>
      <c r="T780" s="21"/>
      <c r="U780" s="21"/>
      <c r="V780" s="42"/>
    </row>
    <row r="781">
      <c r="C781" s="9"/>
      <c r="K781" s="40"/>
      <c r="L781" s="9"/>
      <c r="M781" s="9"/>
      <c r="N781" s="40"/>
      <c r="O781" s="40"/>
      <c r="P781" s="40"/>
      <c r="Q781" s="41"/>
      <c r="R781" s="41"/>
      <c r="S781" s="41"/>
      <c r="T781" s="21"/>
      <c r="U781" s="21"/>
      <c r="V781" s="42"/>
    </row>
    <row r="782">
      <c r="C782" s="9"/>
      <c r="K782" s="40"/>
      <c r="L782" s="9"/>
      <c r="M782" s="9"/>
      <c r="N782" s="40"/>
      <c r="O782" s="40"/>
      <c r="P782" s="40"/>
      <c r="Q782" s="41"/>
      <c r="R782" s="41"/>
      <c r="S782" s="41"/>
      <c r="T782" s="21"/>
      <c r="U782" s="21"/>
      <c r="V782" s="42"/>
    </row>
    <row r="783">
      <c r="C783" s="9"/>
      <c r="K783" s="40"/>
      <c r="L783" s="9"/>
      <c r="M783" s="9"/>
      <c r="N783" s="40"/>
      <c r="O783" s="40"/>
      <c r="P783" s="40"/>
      <c r="Q783" s="41"/>
      <c r="R783" s="41"/>
      <c r="S783" s="41"/>
      <c r="T783" s="21"/>
      <c r="U783" s="21"/>
      <c r="V783" s="42"/>
    </row>
    <row r="784">
      <c r="C784" s="9"/>
      <c r="K784" s="40"/>
      <c r="L784" s="9"/>
      <c r="M784" s="9"/>
      <c r="N784" s="40"/>
      <c r="O784" s="40"/>
      <c r="P784" s="40"/>
      <c r="Q784" s="41"/>
      <c r="R784" s="41"/>
      <c r="S784" s="41"/>
      <c r="T784" s="21"/>
      <c r="U784" s="21"/>
      <c r="V784" s="42"/>
    </row>
    <row r="785">
      <c r="C785" s="9"/>
      <c r="K785" s="40"/>
      <c r="L785" s="9"/>
      <c r="M785" s="9"/>
      <c r="N785" s="40"/>
      <c r="O785" s="40"/>
      <c r="P785" s="40"/>
      <c r="Q785" s="41"/>
      <c r="R785" s="41"/>
      <c r="S785" s="41"/>
      <c r="T785" s="21"/>
      <c r="U785" s="21"/>
      <c r="V785" s="42"/>
    </row>
    <row r="786">
      <c r="C786" s="9"/>
      <c r="K786" s="40"/>
      <c r="L786" s="9"/>
      <c r="M786" s="9"/>
      <c r="N786" s="40"/>
      <c r="O786" s="40"/>
      <c r="P786" s="40"/>
      <c r="Q786" s="41"/>
      <c r="R786" s="41"/>
      <c r="S786" s="41"/>
      <c r="T786" s="21"/>
      <c r="U786" s="21"/>
      <c r="V786" s="42"/>
    </row>
    <row r="787">
      <c r="C787" s="9"/>
      <c r="K787" s="40"/>
      <c r="L787" s="9"/>
      <c r="M787" s="9"/>
      <c r="N787" s="40"/>
      <c r="O787" s="40"/>
      <c r="P787" s="40"/>
      <c r="Q787" s="41"/>
      <c r="R787" s="41"/>
      <c r="S787" s="41"/>
      <c r="T787" s="21"/>
      <c r="U787" s="21"/>
      <c r="V787" s="42"/>
    </row>
    <row r="788">
      <c r="C788" s="9"/>
      <c r="K788" s="40"/>
      <c r="L788" s="9"/>
      <c r="M788" s="9"/>
      <c r="N788" s="40"/>
      <c r="O788" s="40"/>
      <c r="P788" s="40"/>
      <c r="Q788" s="41"/>
      <c r="R788" s="41"/>
      <c r="S788" s="41"/>
      <c r="T788" s="21"/>
      <c r="U788" s="21"/>
      <c r="V788" s="42"/>
    </row>
    <row r="789">
      <c r="C789" s="9"/>
      <c r="K789" s="40"/>
      <c r="L789" s="9"/>
      <c r="M789" s="9"/>
      <c r="N789" s="40"/>
      <c r="O789" s="40"/>
      <c r="P789" s="40"/>
      <c r="Q789" s="41"/>
      <c r="R789" s="41"/>
      <c r="S789" s="41"/>
      <c r="T789" s="21"/>
      <c r="U789" s="21"/>
      <c r="V789" s="42"/>
    </row>
    <row r="790">
      <c r="C790" s="9"/>
      <c r="K790" s="40"/>
      <c r="L790" s="9"/>
      <c r="M790" s="9"/>
      <c r="N790" s="40"/>
      <c r="O790" s="40"/>
      <c r="P790" s="40"/>
      <c r="Q790" s="41"/>
      <c r="R790" s="41"/>
      <c r="S790" s="41"/>
      <c r="T790" s="21"/>
      <c r="U790" s="21"/>
      <c r="V790" s="42"/>
    </row>
    <row r="791">
      <c r="C791" s="9"/>
      <c r="K791" s="40"/>
      <c r="L791" s="9"/>
      <c r="M791" s="9"/>
      <c r="N791" s="40"/>
      <c r="O791" s="40"/>
      <c r="P791" s="40"/>
      <c r="Q791" s="41"/>
      <c r="R791" s="41"/>
      <c r="S791" s="41"/>
      <c r="T791" s="21"/>
      <c r="U791" s="21"/>
      <c r="V791" s="42"/>
    </row>
    <row r="792">
      <c r="C792" s="9"/>
      <c r="K792" s="40"/>
      <c r="L792" s="9"/>
      <c r="M792" s="9"/>
      <c r="N792" s="40"/>
      <c r="O792" s="40"/>
      <c r="P792" s="40"/>
      <c r="Q792" s="41"/>
      <c r="R792" s="41"/>
      <c r="S792" s="41"/>
      <c r="T792" s="21"/>
      <c r="U792" s="21"/>
      <c r="V792" s="42"/>
    </row>
    <row r="793">
      <c r="C793" s="9"/>
      <c r="K793" s="40"/>
      <c r="L793" s="9"/>
      <c r="M793" s="9"/>
      <c r="N793" s="40"/>
      <c r="O793" s="40"/>
      <c r="P793" s="40"/>
      <c r="Q793" s="41"/>
      <c r="R793" s="41"/>
      <c r="S793" s="41"/>
      <c r="T793" s="21"/>
      <c r="U793" s="21"/>
      <c r="V793" s="42"/>
    </row>
    <row r="794">
      <c r="C794" s="9"/>
      <c r="K794" s="40"/>
      <c r="L794" s="9"/>
      <c r="M794" s="9"/>
      <c r="N794" s="40"/>
      <c r="O794" s="40"/>
      <c r="P794" s="40"/>
      <c r="Q794" s="41"/>
      <c r="R794" s="41"/>
      <c r="S794" s="41"/>
      <c r="T794" s="21"/>
      <c r="U794" s="21"/>
      <c r="V794" s="42"/>
    </row>
    <row r="795">
      <c r="C795" s="9"/>
      <c r="K795" s="40"/>
      <c r="L795" s="9"/>
      <c r="M795" s="9"/>
      <c r="N795" s="40"/>
      <c r="O795" s="40"/>
      <c r="P795" s="40"/>
      <c r="Q795" s="41"/>
      <c r="R795" s="41"/>
      <c r="S795" s="41"/>
      <c r="T795" s="21"/>
      <c r="U795" s="21"/>
      <c r="V795" s="42"/>
    </row>
    <row r="796">
      <c r="C796" s="9"/>
      <c r="K796" s="40"/>
      <c r="L796" s="9"/>
      <c r="M796" s="9"/>
      <c r="N796" s="40"/>
      <c r="O796" s="40"/>
      <c r="P796" s="40"/>
      <c r="Q796" s="41"/>
      <c r="R796" s="41"/>
      <c r="S796" s="41"/>
      <c r="T796" s="21"/>
      <c r="U796" s="21"/>
      <c r="V796" s="42"/>
    </row>
    <row r="797">
      <c r="C797" s="9"/>
      <c r="K797" s="40"/>
      <c r="L797" s="9"/>
      <c r="M797" s="9"/>
      <c r="N797" s="40"/>
      <c r="O797" s="40"/>
      <c r="P797" s="40"/>
      <c r="Q797" s="41"/>
      <c r="R797" s="41"/>
      <c r="S797" s="41"/>
      <c r="T797" s="21"/>
      <c r="U797" s="21"/>
      <c r="V797" s="42"/>
    </row>
    <row r="798">
      <c r="C798" s="9"/>
      <c r="K798" s="40"/>
      <c r="L798" s="9"/>
      <c r="M798" s="9"/>
      <c r="N798" s="40"/>
      <c r="O798" s="40"/>
      <c r="P798" s="40"/>
      <c r="Q798" s="41"/>
      <c r="R798" s="41"/>
      <c r="S798" s="41"/>
      <c r="T798" s="21"/>
      <c r="U798" s="21"/>
      <c r="V798" s="42"/>
    </row>
    <row r="799">
      <c r="C799" s="9"/>
      <c r="K799" s="40"/>
      <c r="L799" s="9"/>
      <c r="M799" s="9"/>
      <c r="N799" s="40"/>
      <c r="O799" s="40"/>
      <c r="P799" s="40"/>
      <c r="Q799" s="41"/>
      <c r="R799" s="41"/>
      <c r="S799" s="41"/>
      <c r="T799" s="21"/>
      <c r="U799" s="21"/>
      <c r="V799" s="42"/>
    </row>
    <row r="800">
      <c r="C800" s="9"/>
      <c r="K800" s="40"/>
      <c r="L800" s="9"/>
      <c r="M800" s="9"/>
      <c r="N800" s="40"/>
      <c r="O800" s="40"/>
      <c r="P800" s="40"/>
      <c r="Q800" s="41"/>
      <c r="R800" s="41"/>
      <c r="S800" s="41"/>
      <c r="T800" s="21"/>
      <c r="U800" s="21"/>
      <c r="V800" s="42"/>
    </row>
    <row r="801">
      <c r="C801" s="9"/>
      <c r="K801" s="40"/>
      <c r="L801" s="9"/>
      <c r="M801" s="9"/>
      <c r="N801" s="40"/>
      <c r="O801" s="40"/>
      <c r="P801" s="40"/>
      <c r="Q801" s="41"/>
      <c r="R801" s="41"/>
      <c r="S801" s="41"/>
      <c r="T801" s="21"/>
      <c r="U801" s="21"/>
      <c r="V801" s="42"/>
    </row>
    <row r="802">
      <c r="C802" s="9"/>
      <c r="K802" s="40"/>
      <c r="L802" s="9"/>
      <c r="M802" s="9"/>
      <c r="N802" s="40"/>
      <c r="O802" s="40"/>
      <c r="P802" s="40"/>
      <c r="Q802" s="41"/>
      <c r="R802" s="41"/>
      <c r="S802" s="41"/>
      <c r="T802" s="21"/>
      <c r="U802" s="21"/>
      <c r="V802" s="42"/>
    </row>
    <row r="803">
      <c r="C803" s="9"/>
      <c r="K803" s="40"/>
      <c r="L803" s="9"/>
      <c r="M803" s="9"/>
      <c r="N803" s="40"/>
      <c r="O803" s="40"/>
      <c r="P803" s="40"/>
      <c r="Q803" s="41"/>
      <c r="R803" s="41"/>
      <c r="S803" s="41"/>
      <c r="T803" s="21"/>
      <c r="U803" s="21"/>
      <c r="V803" s="42"/>
    </row>
    <row r="804">
      <c r="C804" s="9"/>
      <c r="K804" s="40"/>
      <c r="L804" s="9"/>
      <c r="M804" s="9"/>
      <c r="N804" s="40"/>
      <c r="O804" s="40"/>
      <c r="P804" s="40"/>
      <c r="Q804" s="41"/>
      <c r="R804" s="41"/>
      <c r="S804" s="41"/>
      <c r="T804" s="21"/>
      <c r="U804" s="21"/>
      <c r="V804" s="42"/>
    </row>
    <row r="805">
      <c r="C805" s="9"/>
      <c r="K805" s="40"/>
      <c r="L805" s="9"/>
      <c r="M805" s="9"/>
      <c r="N805" s="40"/>
      <c r="O805" s="40"/>
      <c r="P805" s="40"/>
      <c r="Q805" s="41"/>
      <c r="R805" s="41"/>
      <c r="S805" s="41"/>
      <c r="T805" s="21"/>
      <c r="U805" s="21"/>
      <c r="V805" s="42"/>
    </row>
    <row r="806">
      <c r="C806" s="9"/>
      <c r="K806" s="40"/>
      <c r="L806" s="9"/>
      <c r="M806" s="9"/>
      <c r="N806" s="40"/>
      <c r="O806" s="40"/>
      <c r="P806" s="40"/>
      <c r="Q806" s="41"/>
      <c r="R806" s="41"/>
      <c r="S806" s="41"/>
      <c r="T806" s="21"/>
      <c r="U806" s="21"/>
      <c r="V806" s="42"/>
    </row>
    <row r="807">
      <c r="C807" s="9"/>
      <c r="K807" s="40"/>
      <c r="L807" s="9"/>
      <c r="M807" s="9"/>
      <c r="N807" s="40"/>
      <c r="O807" s="40"/>
      <c r="P807" s="40"/>
      <c r="Q807" s="41"/>
      <c r="R807" s="41"/>
      <c r="S807" s="41"/>
      <c r="T807" s="21"/>
      <c r="U807" s="21"/>
      <c r="V807" s="42"/>
    </row>
    <row r="808">
      <c r="C808" s="9"/>
      <c r="K808" s="40"/>
      <c r="L808" s="9"/>
      <c r="M808" s="9"/>
      <c r="N808" s="40"/>
      <c r="O808" s="40"/>
      <c r="P808" s="40"/>
      <c r="Q808" s="41"/>
      <c r="R808" s="41"/>
      <c r="S808" s="41"/>
      <c r="T808" s="21"/>
      <c r="U808" s="21"/>
      <c r="V808" s="42"/>
    </row>
    <row r="809">
      <c r="C809" s="9"/>
      <c r="K809" s="40"/>
      <c r="L809" s="9"/>
      <c r="M809" s="9"/>
      <c r="N809" s="40"/>
      <c r="O809" s="40"/>
      <c r="P809" s="40"/>
      <c r="Q809" s="41"/>
      <c r="R809" s="41"/>
      <c r="S809" s="41"/>
      <c r="T809" s="21"/>
      <c r="U809" s="21"/>
      <c r="V809" s="42"/>
    </row>
    <row r="810">
      <c r="C810" s="9"/>
      <c r="K810" s="40"/>
      <c r="L810" s="9"/>
      <c r="M810" s="9"/>
      <c r="N810" s="40"/>
      <c r="O810" s="40"/>
      <c r="P810" s="40"/>
      <c r="Q810" s="41"/>
      <c r="R810" s="41"/>
      <c r="S810" s="41"/>
      <c r="T810" s="21"/>
      <c r="U810" s="21"/>
      <c r="V810" s="42"/>
    </row>
    <row r="811">
      <c r="C811" s="9"/>
      <c r="K811" s="40"/>
      <c r="L811" s="9"/>
      <c r="M811" s="9"/>
      <c r="N811" s="40"/>
      <c r="O811" s="40"/>
      <c r="P811" s="40"/>
      <c r="Q811" s="41"/>
      <c r="R811" s="41"/>
      <c r="S811" s="41"/>
      <c r="T811" s="21"/>
      <c r="U811" s="21"/>
      <c r="V811" s="42"/>
    </row>
    <row r="812">
      <c r="C812" s="9"/>
      <c r="K812" s="40"/>
      <c r="L812" s="9"/>
      <c r="M812" s="9"/>
      <c r="N812" s="40"/>
      <c r="O812" s="40"/>
      <c r="P812" s="40"/>
      <c r="Q812" s="41"/>
      <c r="R812" s="41"/>
      <c r="S812" s="41"/>
      <c r="T812" s="21"/>
      <c r="U812" s="21"/>
      <c r="V812" s="42"/>
    </row>
    <row r="813">
      <c r="C813" s="9"/>
      <c r="K813" s="40"/>
      <c r="L813" s="9"/>
      <c r="M813" s="9"/>
      <c r="N813" s="40"/>
      <c r="O813" s="40"/>
      <c r="P813" s="40"/>
      <c r="Q813" s="41"/>
      <c r="R813" s="41"/>
      <c r="S813" s="41"/>
      <c r="T813" s="21"/>
      <c r="U813" s="21"/>
      <c r="V813" s="42"/>
    </row>
    <row r="814">
      <c r="C814" s="9"/>
      <c r="K814" s="40"/>
      <c r="L814" s="9"/>
      <c r="M814" s="9"/>
      <c r="N814" s="40"/>
      <c r="O814" s="40"/>
      <c r="P814" s="40"/>
      <c r="Q814" s="41"/>
      <c r="R814" s="41"/>
      <c r="S814" s="41"/>
      <c r="T814" s="21"/>
      <c r="U814" s="21"/>
      <c r="V814" s="42"/>
    </row>
    <row r="815">
      <c r="C815" s="9"/>
      <c r="K815" s="40"/>
      <c r="L815" s="9"/>
      <c r="M815" s="9"/>
      <c r="N815" s="40"/>
      <c r="O815" s="40"/>
      <c r="P815" s="40"/>
      <c r="Q815" s="41"/>
      <c r="R815" s="41"/>
      <c r="S815" s="41"/>
      <c r="T815" s="21"/>
      <c r="U815" s="21"/>
      <c r="V815" s="42"/>
    </row>
    <row r="816">
      <c r="C816" s="9"/>
      <c r="K816" s="40"/>
      <c r="L816" s="9"/>
      <c r="M816" s="9"/>
      <c r="N816" s="40"/>
      <c r="O816" s="40"/>
      <c r="P816" s="40"/>
      <c r="Q816" s="41"/>
      <c r="R816" s="41"/>
      <c r="S816" s="41"/>
      <c r="T816" s="21"/>
      <c r="U816" s="21"/>
      <c r="V816" s="42"/>
    </row>
    <row r="817">
      <c r="C817" s="9"/>
      <c r="K817" s="40"/>
      <c r="L817" s="9"/>
      <c r="M817" s="9"/>
      <c r="N817" s="40"/>
      <c r="O817" s="40"/>
      <c r="P817" s="40"/>
      <c r="Q817" s="41"/>
      <c r="R817" s="41"/>
      <c r="S817" s="41"/>
      <c r="T817" s="21"/>
      <c r="U817" s="21"/>
      <c r="V817" s="42"/>
    </row>
    <row r="818">
      <c r="C818" s="9"/>
      <c r="K818" s="40"/>
      <c r="L818" s="9"/>
      <c r="M818" s="9"/>
      <c r="N818" s="40"/>
      <c r="O818" s="40"/>
      <c r="P818" s="40"/>
      <c r="Q818" s="41"/>
      <c r="R818" s="41"/>
      <c r="S818" s="41"/>
      <c r="T818" s="21"/>
      <c r="U818" s="21"/>
      <c r="V818" s="42"/>
    </row>
    <row r="819">
      <c r="C819" s="9"/>
      <c r="K819" s="40"/>
      <c r="L819" s="9"/>
      <c r="M819" s="9"/>
      <c r="N819" s="40"/>
      <c r="O819" s="40"/>
      <c r="P819" s="40"/>
      <c r="Q819" s="41"/>
      <c r="R819" s="41"/>
      <c r="S819" s="41"/>
      <c r="T819" s="21"/>
      <c r="U819" s="21"/>
      <c r="V819" s="42"/>
    </row>
    <row r="820">
      <c r="C820" s="9"/>
      <c r="K820" s="40"/>
      <c r="L820" s="9"/>
      <c r="M820" s="9"/>
      <c r="N820" s="40"/>
      <c r="O820" s="40"/>
      <c r="P820" s="40"/>
      <c r="Q820" s="41"/>
      <c r="R820" s="41"/>
      <c r="S820" s="41"/>
      <c r="T820" s="21"/>
      <c r="U820" s="21"/>
      <c r="V820" s="42"/>
    </row>
    <row r="821">
      <c r="C821" s="9"/>
      <c r="K821" s="40"/>
      <c r="L821" s="9"/>
      <c r="M821" s="9"/>
      <c r="N821" s="40"/>
      <c r="O821" s="40"/>
      <c r="P821" s="40"/>
      <c r="Q821" s="41"/>
      <c r="R821" s="41"/>
      <c r="S821" s="41"/>
      <c r="T821" s="21"/>
      <c r="U821" s="21"/>
      <c r="V821" s="42"/>
    </row>
    <row r="822">
      <c r="C822" s="9"/>
      <c r="K822" s="40"/>
      <c r="L822" s="9"/>
      <c r="M822" s="9"/>
      <c r="N822" s="40"/>
      <c r="O822" s="40"/>
      <c r="P822" s="40"/>
      <c r="Q822" s="41"/>
      <c r="R822" s="41"/>
      <c r="S822" s="41"/>
      <c r="T822" s="21"/>
      <c r="U822" s="21"/>
      <c r="V822" s="42"/>
    </row>
    <row r="823">
      <c r="C823" s="9"/>
      <c r="K823" s="40"/>
      <c r="L823" s="9"/>
      <c r="M823" s="9"/>
      <c r="N823" s="40"/>
      <c r="O823" s="40"/>
      <c r="P823" s="40"/>
      <c r="Q823" s="41"/>
      <c r="R823" s="41"/>
      <c r="S823" s="41"/>
      <c r="T823" s="21"/>
      <c r="U823" s="21"/>
      <c r="V823" s="42"/>
    </row>
    <row r="824">
      <c r="C824" s="9"/>
      <c r="K824" s="40"/>
      <c r="L824" s="9"/>
      <c r="M824" s="9"/>
      <c r="N824" s="40"/>
      <c r="O824" s="40"/>
      <c r="P824" s="40"/>
      <c r="Q824" s="41"/>
      <c r="R824" s="41"/>
      <c r="S824" s="41"/>
      <c r="T824" s="21"/>
      <c r="U824" s="21"/>
      <c r="V824" s="42"/>
    </row>
    <row r="825">
      <c r="C825" s="9"/>
      <c r="K825" s="40"/>
      <c r="L825" s="9"/>
      <c r="M825" s="9"/>
      <c r="N825" s="40"/>
      <c r="O825" s="40"/>
      <c r="P825" s="40"/>
      <c r="Q825" s="41"/>
      <c r="R825" s="41"/>
      <c r="S825" s="41"/>
      <c r="T825" s="21"/>
      <c r="U825" s="21"/>
      <c r="V825" s="42"/>
    </row>
    <row r="826">
      <c r="C826" s="9"/>
      <c r="K826" s="40"/>
      <c r="L826" s="9"/>
      <c r="M826" s="9"/>
      <c r="N826" s="40"/>
      <c r="O826" s="40"/>
      <c r="P826" s="40"/>
      <c r="Q826" s="41"/>
      <c r="R826" s="41"/>
      <c r="S826" s="41"/>
      <c r="T826" s="21"/>
      <c r="U826" s="21"/>
      <c r="V826" s="42"/>
    </row>
    <row r="827">
      <c r="C827" s="9"/>
      <c r="K827" s="40"/>
      <c r="L827" s="9"/>
      <c r="M827" s="9"/>
      <c r="N827" s="40"/>
      <c r="O827" s="40"/>
      <c r="P827" s="40"/>
      <c r="Q827" s="41"/>
      <c r="R827" s="41"/>
      <c r="S827" s="41"/>
      <c r="T827" s="21"/>
      <c r="U827" s="21"/>
      <c r="V827" s="42"/>
    </row>
    <row r="828">
      <c r="C828" s="9"/>
      <c r="K828" s="40"/>
      <c r="L828" s="9"/>
      <c r="M828" s="9"/>
      <c r="N828" s="40"/>
      <c r="O828" s="40"/>
      <c r="P828" s="40"/>
      <c r="Q828" s="41"/>
      <c r="R828" s="41"/>
      <c r="S828" s="41"/>
      <c r="T828" s="21"/>
      <c r="U828" s="21"/>
      <c r="V828" s="42"/>
    </row>
    <row r="829">
      <c r="C829" s="9"/>
      <c r="K829" s="40"/>
      <c r="L829" s="9"/>
      <c r="M829" s="9"/>
      <c r="N829" s="40"/>
      <c r="O829" s="40"/>
      <c r="P829" s="40"/>
      <c r="Q829" s="41"/>
      <c r="R829" s="41"/>
      <c r="S829" s="41"/>
      <c r="T829" s="21"/>
      <c r="U829" s="21"/>
      <c r="V829" s="42"/>
    </row>
    <row r="830">
      <c r="C830" s="9"/>
      <c r="K830" s="40"/>
      <c r="L830" s="9"/>
      <c r="M830" s="9"/>
      <c r="N830" s="40"/>
      <c r="O830" s="40"/>
      <c r="P830" s="40"/>
      <c r="Q830" s="41"/>
      <c r="R830" s="41"/>
      <c r="S830" s="41"/>
      <c r="T830" s="21"/>
      <c r="U830" s="21"/>
      <c r="V830" s="42"/>
    </row>
    <row r="831">
      <c r="C831" s="9"/>
      <c r="K831" s="40"/>
      <c r="L831" s="9"/>
      <c r="M831" s="9"/>
      <c r="N831" s="40"/>
      <c r="O831" s="40"/>
      <c r="P831" s="40"/>
      <c r="Q831" s="41"/>
      <c r="R831" s="41"/>
      <c r="S831" s="41"/>
      <c r="T831" s="21"/>
      <c r="U831" s="21"/>
      <c r="V831" s="42"/>
    </row>
    <row r="832">
      <c r="C832" s="9"/>
      <c r="K832" s="40"/>
      <c r="L832" s="9"/>
      <c r="M832" s="9"/>
      <c r="N832" s="40"/>
      <c r="O832" s="40"/>
      <c r="P832" s="40"/>
      <c r="Q832" s="41"/>
      <c r="R832" s="41"/>
      <c r="S832" s="41"/>
      <c r="T832" s="21"/>
      <c r="U832" s="21"/>
      <c r="V832" s="42"/>
    </row>
    <row r="833">
      <c r="C833" s="9"/>
      <c r="K833" s="40"/>
      <c r="L833" s="9"/>
      <c r="M833" s="9"/>
      <c r="N833" s="40"/>
      <c r="O833" s="40"/>
      <c r="P833" s="40"/>
      <c r="Q833" s="41"/>
      <c r="R833" s="41"/>
      <c r="S833" s="41"/>
      <c r="T833" s="21"/>
      <c r="U833" s="21"/>
      <c r="V833" s="42"/>
    </row>
    <row r="834">
      <c r="C834" s="9"/>
      <c r="K834" s="40"/>
      <c r="L834" s="9"/>
      <c r="M834" s="9"/>
      <c r="N834" s="40"/>
      <c r="O834" s="40"/>
      <c r="P834" s="40"/>
      <c r="Q834" s="41"/>
      <c r="R834" s="41"/>
      <c r="S834" s="41"/>
      <c r="T834" s="21"/>
      <c r="U834" s="21"/>
      <c r="V834" s="42"/>
    </row>
    <row r="835">
      <c r="C835" s="9"/>
      <c r="K835" s="40"/>
      <c r="L835" s="9"/>
      <c r="M835" s="9"/>
      <c r="N835" s="40"/>
      <c r="O835" s="40"/>
      <c r="P835" s="40"/>
      <c r="Q835" s="41"/>
      <c r="R835" s="41"/>
      <c r="S835" s="41"/>
      <c r="T835" s="21"/>
      <c r="U835" s="21"/>
      <c r="V835" s="42"/>
    </row>
    <row r="836">
      <c r="C836" s="9"/>
      <c r="K836" s="40"/>
      <c r="L836" s="9"/>
      <c r="M836" s="9"/>
      <c r="N836" s="40"/>
      <c r="O836" s="40"/>
      <c r="P836" s="40"/>
      <c r="Q836" s="41"/>
      <c r="R836" s="41"/>
      <c r="S836" s="41"/>
      <c r="T836" s="21"/>
      <c r="U836" s="21"/>
      <c r="V836" s="42"/>
    </row>
    <row r="837">
      <c r="C837" s="9"/>
      <c r="K837" s="40"/>
      <c r="L837" s="9"/>
      <c r="M837" s="9"/>
      <c r="N837" s="40"/>
      <c r="O837" s="40"/>
      <c r="P837" s="40"/>
      <c r="Q837" s="41"/>
      <c r="R837" s="41"/>
      <c r="S837" s="41"/>
      <c r="T837" s="21"/>
      <c r="U837" s="21"/>
      <c r="V837" s="42"/>
    </row>
    <row r="838">
      <c r="C838" s="9"/>
      <c r="K838" s="40"/>
      <c r="L838" s="9"/>
      <c r="M838" s="9"/>
      <c r="N838" s="40"/>
      <c r="O838" s="40"/>
      <c r="P838" s="40"/>
      <c r="Q838" s="41"/>
      <c r="R838" s="41"/>
      <c r="S838" s="41"/>
      <c r="T838" s="21"/>
      <c r="U838" s="21"/>
      <c r="V838" s="42"/>
    </row>
    <row r="839">
      <c r="C839" s="9"/>
      <c r="K839" s="40"/>
      <c r="L839" s="9"/>
      <c r="M839" s="9"/>
      <c r="N839" s="40"/>
      <c r="O839" s="40"/>
      <c r="P839" s="40"/>
      <c r="Q839" s="41"/>
      <c r="R839" s="41"/>
      <c r="S839" s="41"/>
      <c r="T839" s="21"/>
      <c r="U839" s="21"/>
      <c r="V839" s="42"/>
    </row>
    <row r="840">
      <c r="C840" s="9"/>
      <c r="K840" s="40"/>
      <c r="L840" s="9"/>
      <c r="M840" s="9"/>
      <c r="N840" s="40"/>
      <c r="O840" s="40"/>
      <c r="P840" s="40"/>
      <c r="Q840" s="41"/>
      <c r="R840" s="41"/>
      <c r="S840" s="41"/>
      <c r="T840" s="21"/>
      <c r="U840" s="21"/>
      <c r="V840" s="42"/>
    </row>
    <row r="841">
      <c r="C841" s="9"/>
      <c r="K841" s="40"/>
      <c r="L841" s="9"/>
      <c r="M841" s="9"/>
      <c r="N841" s="40"/>
      <c r="O841" s="40"/>
      <c r="P841" s="40"/>
      <c r="Q841" s="41"/>
      <c r="R841" s="41"/>
      <c r="S841" s="41"/>
      <c r="T841" s="21"/>
      <c r="U841" s="21"/>
      <c r="V841" s="42"/>
    </row>
    <row r="842">
      <c r="C842" s="9"/>
      <c r="K842" s="40"/>
      <c r="L842" s="9"/>
      <c r="M842" s="9"/>
      <c r="N842" s="40"/>
      <c r="O842" s="40"/>
      <c r="P842" s="40"/>
      <c r="Q842" s="41"/>
      <c r="R842" s="41"/>
      <c r="S842" s="41"/>
      <c r="T842" s="21"/>
      <c r="U842" s="21"/>
      <c r="V842" s="42"/>
    </row>
    <row r="843">
      <c r="C843" s="9"/>
      <c r="K843" s="40"/>
      <c r="L843" s="9"/>
      <c r="M843" s="9"/>
      <c r="N843" s="40"/>
      <c r="O843" s="40"/>
      <c r="P843" s="40"/>
      <c r="Q843" s="41"/>
      <c r="R843" s="41"/>
      <c r="S843" s="41"/>
      <c r="T843" s="21"/>
      <c r="U843" s="21"/>
      <c r="V843" s="42"/>
    </row>
    <row r="844">
      <c r="C844" s="9"/>
      <c r="K844" s="40"/>
      <c r="L844" s="9"/>
      <c r="M844" s="9"/>
      <c r="N844" s="40"/>
      <c r="O844" s="40"/>
      <c r="P844" s="40"/>
      <c r="Q844" s="41"/>
      <c r="R844" s="41"/>
      <c r="S844" s="41"/>
      <c r="T844" s="21"/>
      <c r="U844" s="21"/>
      <c r="V844" s="42"/>
    </row>
    <row r="845">
      <c r="C845" s="9"/>
      <c r="K845" s="40"/>
      <c r="L845" s="9"/>
      <c r="M845" s="9"/>
      <c r="N845" s="40"/>
      <c r="O845" s="40"/>
      <c r="P845" s="40"/>
      <c r="Q845" s="41"/>
      <c r="R845" s="41"/>
      <c r="S845" s="41"/>
      <c r="T845" s="21"/>
      <c r="U845" s="21"/>
      <c r="V845" s="42"/>
    </row>
    <row r="846">
      <c r="C846" s="9"/>
      <c r="K846" s="40"/>
      <c r="L846" s="9"/>
      <c r="M846" s="9"/>
      <c r="N846" s="40"/>
      <c r="O846" s="40"/>
      <c r="P846" s="40"/>
      <c r="Q846" s="41"/>
      <c r="R846" s="41"/>
      <c r="S846" s="41"/>
      <c r="T846" s="21"/>
      <c r="U846" s="21"/>
      <c r="V846" s="42"/>
    </row>
    <row r="847">
      <c r="C847" s="9"/>
      <c r="K847" s="40"/>
      <c r="L847" s="9"/>
      <c r="M847" s="9"/>
      <c r="N847" s="40"/>
      <c r="O847" s="40"/>
      <c r="P847" s="40"/>
      <c r="Q847" s="41"/>
      <c r="R847" s="41"/>
      <c r="S847" s="41"/>
      <c r="T847" s="21"/>
      <c r="U847" s="21"/>
      <c r="V847" s="42"/>
    </row>
    <row r="848">
      <c r="C848" s="9"/>
      <c r="K848" s="40"/>
      <c r="L848" s="9"/>
      <c r="M848" s="9"/>
      <c r="N848" s="40"/>
      <c r="O848" s="40"/>
      <c r="P848" s="40"/>
      <c r="Q848" s="41"/>
      <c r="R848" s="41"/>
      <c r="S848" s="41"/>
      <c r="T848" s="21"/>
      <c r="U848" s="21"/>
      <c r="V848" s="42"/>
    </row>
    <row r="849">
      <c r="C849" s="9"/>
      <c r="K849" s="40"/>
      <c r="L849" s="9"/>
      <c r="M849" s="9"/>
      <c r="N849" s="40"/>
      <c r="O849" s="40"/>
      <c r="P849" s="40"/>
      <c r="Q849" s="41"/>
      <c r="R849" s="41"/>
      <c r="S849" s="41"/>
      <c r="T849" s="21"/>
      <c r="U849" s="21"/>
      <c r="V849" s="42"/>
    </row>
    <row r="850">
      <c r="C850" s="9"/>
      <c r="K850" s="40"/>
      <c r="L850" s="9"/>
      <c r="M850" s="9"/>
      <c r="N850" s="40"/>
      <c r="O850" s="40"/>
      <c r="P850" s="40"/>
      <c r="Q850" s="41"/>
      <c r="R850" s="41"/>
      <c r="S850" s="41"/>
      <c r="T850" s="21"/>
      <c r="U850" s="21"/>
      <c r="V850" s="42"/>
    </row>
    <row r="851">
      <c r="C851" s="9"/>
      <c r="K851" s="40"/>
      <c r="L851" s="9"/>
      <c r="M851" s="9"/>
      <c r="N851" s="40"/>
      <c r="O851" s="40"/>
      <c r="P851" s="40"/>
      <c r="Q851" s="41"/>
      <c r="R851" s="41"/>
      <c r="S851" s="41"/>
      <c r="T851" s="21"/>
      <c r="U851" s="21"/>
      <c r="V851" s="42"/>
    </row>
    <row r="852">
      <c r="C852" s="9"/>
      <c r="K852" s="40"/>
      <c r="L852" s="9"/>
      <c r="M852" s="9"/>
      <c r="N852" s="40"/>
      <c r="O852" s="40"/>
      <c r="P852" s="40"/>
      <c r="Q852" s="41"/>
      <c r="R852" s="41"/>
      <c r="S852" s="41"/>
      <c r="T852" s="21"/>
      <c r="U852" s="21"/>
      <c r="V852" s="42"/>
    </row>
    <row r="853">
      <c r="C853" s="9"/>
      <c r="K853" s="40"/>
      <c r="L853" s="9"/>
      <c r="M853" s="9"/>
      <c r="N853" s="40"/>
      <c r="O853" s="40"/>
      <c r="P853" s="40"/>
      <c r="Q853" s="41"/>
      <c r="R853" s="41"/>
      <c r="S853" s="41"/>
      <c r="T853" s="21"/>
      <c r="U853" s="21"/>
      <c r="V853" s="42"/>
    </row>
    <row r="854">
      <c r="C854" s="9"/>
      <c r="K854" s="40"/>
      <c r="L854" s="9"/>
      <c r="M854" s="9"/>
      <c r="N854" s="40"/>
      <c r="O854" s="40"/>
      <c r="P854" s="40"/>
      <c r="Q854" s="41"/>
      <c r="R854" s="41"/>
      <c r="S854" s="41"/>
      <c r="T854" s="21"/>
      <c r="U854" s="21"/>
      <c r="V854" s="42"/>
    </row>
    <row r="855">
      <c r="C855" s="9"/>
      <c r="K855" s="40"/>
      <c r="L855" s="9"/>
      <c r="M855" s="9"/>
      <c r="N855" s="40"/>
      <c r="O855" s="40"/>
      <c r="P855" s="40"/>
      <c r="Q855" s="41"/>
      <c r="R855" s="41"/>
      <c r="S855" s="41"/>
      <c r="T855" s="21"/>
      <c r="U855" s="21"/>
      <c r="V855" s="42"/>
    </row>
    <row r="856">
      <c r="C856" s="9"/>
      <c r="K856" s="40"/>
      <c r="L856" s="9"/>
      <c r="M856" s="9"/>
      <c r="N856" s="40"/>
      <c r="O856" s="40"/>
      <c r="P856" s="40"/>
      <c r="Q856" s="41"/>
      <c r="R856" s="41"/>
      <c r="S856" s="41"/>
      <c r="T856" s="21"/>
      <c r="U856" s="21"/>
      <c r="V856" s="42"/>
    </row>
    <row r="857">
      <c r="C857" s="9"/>
      <c r="K857" s="40"/>
      <c r="L857" s="9"/>
      <c r="M857" s="9"/>
      <c r="N857" s="40"/>
      <c r="O857" s="40"/>
      <c r="P857" s="40"/>
      <c r="Q857" s="41"/>
      <c r="R857" s="41"/>
      <c r="S857" s="41"/>
      <c r="T857" s="21"/>
      <c r="U857" s="21"/>
      <c r="V857" s="42"/>
    </row>
    <row r="858">
      <c r="C858" s="9"/>
      <c r="K858" s="40"/>
      <c r="L858" s="9"/>
      <c r="M858" s="9"/>
      <c r="N858" s="40"/>
      <c r="O858" s="40"/>
      <c r="P858" s="40"/>
      <c r="Q858" s="41"/>
      <c r="R858" s="41"/>
      <c r="S858" s="41"/>
      <c r="T858" s="21"/>
      <c r="U858" s="21"/>
      <c r="V858" s="42"/>
    </row>
    <row r="859">
      <c r="C859" s="9"/>
      <c r="K859" s="40"/>
      <c r="L859" s="9"/>
      <c r="M859" s="9"/>
      <c r="N859" s="40"/>
      <c r="O859" s="40"/>
      <c r="P859" s="40"/>
      <c r="Q859" s="41"/>
      <c r="R859" s="41"/>
      <c r="S859" s="41"/>
      <c r="T859" s="21"/>
      <c r="U859" s="21"/>
      <c r="V859" s="42"/>
    </row>
    <row r="860">
      <c r="C860" s="9"/>
      <c r="K860" s="40"/>
      <c r="L860" s="9"/>
      <c r="M860" s="9"/>
      <c r="N860" s="40"/>
      <c r="O860" s="40"/>
      <c r="P860" s="40"/>
      <c r="Q860" s="41"/>
      <c r="R860" s="41"/>
      <c r="S860" s="41"/>
      <c r="T860" s="21"/>
      <c r="U860" s="21"/>
      <c r="V860" s="42"/>
    </row>
    <row r="861">
      <c r="C861" s="9"/>
      <c r="K861" s="40"/>
      <c r="L861" s="9"/>
      <c r="M861" s="9"/>
      <c r="N861" s="40"/>
      <c r="O861" s="40"/>
      <c r="P861" s="40"/>
      <c r="Q861" s="41"/>
      <c r="R861" s="41"/>
      <c r="S861" s="41"/>
      <c r="T861" s="21"/>
      <c r="U861" s="21"/>
      <c r="V861" s="42"/>
    </row>
    <row r="862">
      <c r="C862" s="9"/>
      <c r="K862" s="40"/>
      <c r="L862" s="9"/>
      <c r="M862" s="9"/>
      <c r="N862" s="40"/>
      <c r="O862" s="40"/>
      <c r="P862" s="40"/>
      <c r="Q862" s="41"/>
      <c r="R862" s="41"/>
      <c r="S862" s="41"/>
      <c r="T862" s="21"/>
      <c r="U862" s="21"/>
      <c r="V862" s="42"/>
    </row>
    <row r="863">
      <c r="C863" s="9"/>
      <c r="K863" s="40"/>
      <c r="L863" s="9"/>
      <c r="M863" s="9"/>
      <c r="N863" s="40"/>
      <c r="O863" s="40"/>
      <c r="P863" s="40"/>
      <c r="Q863" s="41"/>
      <c r="R863" s="41"/>
      <c r="S863" s="41"/>
      <c r="T863" s="21"/>
      <c r="U863" s="21"/>
      <c r="V863" s="42"/>
    </row>
    <row r="864">
      <c r="C864" s="9"/>
      <c r="K864" s="40"/>
      <c r="L864" s="9"/>
      <c r="M864" s="9"/>
      <c r="N864" s="40"/>
      <c r="O864" s="40"/>
      <c r="P864" s="40"/>
      <c r="Q864" s="41"/>
      <c r="R864" s="41"/>
      <c r="S864" s="41"/>
      <c r="T864" s="21"/>
      <c r="U864" s="21"/>
      <c r="V864" s="42"/>
    </row>
    <row r="865">
      <c r="C865" s="9"/>
      <c r="K865" s="40"/>
      <c r="L865" s="9"/>
      <c r="M865" s="9"/>
      <c r="N865" s="40"/>
      <c r="O865" s="40"/>
      <c r="P865" s="40"/>
      <c r="Q865" s="41"/>
      <c r="R865" s="41"/>
      <c r="S865" s="41"/>
      <c r="T865" s="21"/>
      <c r="U865" s="21"/>
      <c r="V865" s="42"/>
    </row>
    <row r="866">
      <c r="C866" s="9"/>
      <c r="K866" s="40"/>
      <c r="L866" s="9"/>
      <c r="M866" s="9"/>
      <c r="N866" s="40"/>
      <c r="O866" s="40"/>
      <c r="P866" s="40"/>
      <c r="Q866" s="41"/>
      <c r="R866" s="41"/>
      <c r="S866" s="41"/>
      <c r="T866" s="21"/>
      <c r="U866" s="21"/>
      <c r="V866" s="42"/>
    </row>
    <row r="867">
      <c r="C867" s="9"/>
      <c r="K867" s="40"/>
      <c r="L867" s="9"/>
      <c r="M867" s="9"/>
      <c r="N867" s="40"/>
      <c r="O867" s="40"/>
      <c r="P867" s="40"/>
      <c r="Q867" s="41"/>
      <c r="R867" s="41"/>
      <c r="S867" s="41"/>
      <c r="T867" s="21"/>
      <c r="U867" s="21"/>
      <c r="V867" s="42"/>
    </row>
    <row r="868">
      <c r="C868" s="9"/>
      <c r="K868" s="40"/>
      <c r="L868" s="9"/>
      <c r="M868" s="9"/>
      <c r="N868" s="40"/>
      <c r="O868" s="40"/>
      <c r="P868" s="40"/>
      <c r="Q868" s="41"/>
      <c r="R868" s="41"/>
      <c r="S868" s="41"/>
      <c r="T868" s="21"/>
      <c r="U868" s="21"/>
      <c r="V868" s="42"/>
    </row>
    <row r="869">
      <c r="C869" s="9"/>
      <c r="K869" s="40"/>
      <c r="L869" s="9"/>
      <c r="M869" s="9"/>
      <c r="N869" s="40"/>
      <c r="O869" s="40"/>
      <c r="P869" s="40"/>
      <c r="Q869" s="41"/>
      <c r="R869" s="41"/>
      <c r="S869" s="41"/>
      <c r="T869" s="21"/>
      <c r="U869" s="21"/>
      <c r="V869" s="42"/>
    </row>
    <row r="870">
      <c r="C870" s="9"/>
      <c r="K870" s="40"/>
      <c r="L870" s="9"/>
      <c r="M870" s="9"/>
      <c r="N870" s="40"/>
      <c r="O870" s="40"/>
      <c r="P870" s="40"/>
      <c r="Q870" s="41"/>
      <c r="R870" s="41"/>
      <c r="S870" s="41"/>
      <c r="T870" s="21"/>
      <c r="U870" s="21"/>
      <c r="V870" s="42"/>
    </row>
    <row r="871">
      <c r="C871" s="9"/>
      <c r="K871" s="40"/>
      <c r="L871" s="9"/>
      <c r="M871" s="9"/>
      <c r="N871" s="40"/>
      <c r="O871" s="40"/>
      <c r="P871" s="40"/>
      <c r="Q871" s="41"/>
      <c r="R871" s="41"/>
      <c r="S871" s="41"/>
      <c r="T871" s="21"/>
      <c r="U871" s="21"/>
      <c r="V871" s="42"/>
    </row>
    <row r="872">
      <c r="C872" s="9"/>
      <c r="K872" s="40"/>
      <c r="L872" s="9"/>
      <c r="M872" s="9"/>
      <c r="N872" s="40"/>
      <c r="O872" s="40"/>
      <c r="P872" s="40"/>
      <c r="Q872" s="41"/>
      <c r="R872" s="41"/>
      <c r="S872" s="41"/>
      <c r="T872" s="21"/>
      <c r="U872" s="21"/>
      <c r="V872" s="42"/>
    </row>
    <row r="873">
      <c r="C873" s="9"/>
      <c r="K873" s="40"/>
      <c r="L873" s="9"/>
      <c r="M873" s="9"/>
      <c r="N873" s="40"/>
      <c r="O873" s="40"/>
      <c r="P873" s="40"/>
      <c r="Q873" s="41"/>
      <c r="R873" s="41"/>
      <c r="S873" s="41"/>
      <c r="T873" s="21"/>
      <c r="U873" s="21"/>
      <c r="V873" s="42"/>
    </row>
    <row r="874">
      <c r="C874" s="9"/>
      <c r="K874" s="40"/>
      <c r="L874" s="9"/>
      <c r="M874" s="9"/>
      <c r="N874" s="40"/>
      <c r="O874" s="40"/>
      <c r="P874" s="40"/>
      <c r="Q874" s="41"/>
      <c r="R874" s="41"/>
      <c r="S874" s="41"/>
      <c r="T874" s="21"/>
      <c r="U874" s="21"/>
      <c r="V874" s="42"/>
    </row>
    <row r="875">
      <c r="C875" s="9"/>
      <c r="K875" s="40"/>
      <c r="L875" s="9"/>
      <c r="M875" s="9"/>
      <c r="N875" s="40"/>
      <c r="O875" s="40"/>
      <c r="P875" s="40"/>
      <c r="Q875" s="41"/>
      <c r="R875" s="41"/>
      <c r="S875" s="41"/>
      <c r="T875" s="21"/>
      <c r="U875" s="21"/>
      <c r="V875" s="42"/>
    </row>
    <row r="876">
      <c r="C876" s="9"/>
      <c r="K876" s="40"/>
      <c r="L876" s="9"/>
      <c r="M876" s="9"/>
      <c r="N876" s="40"/>
      <c r="O876" s="40"/>
      <c r="P876" s="40"/>
      <c r="Q876" s="41"/>
      <c r="R876" s="41"/>
      <c r="S876" s="41"/>
      <c r="T876" s="21"/>
      <c r="U876" s="21"/>
      <c r="V876" s="42"/>
    </row>
    <row r="877">
      <c r="C877" s="9"/>
      <c r="K877" s="40"/>
      <c r="L877" s="9"/>
      <c r="M877" s="9"/>
      <c r="N877" s="40"/>
      <c r="O877" s="40"/>
      <c r="P877" s="40"/>
      <c r="Q877" s="41"/>
      <c r="R877" s="41"/>
      <c r="S877" s="41"/>
      <c r="T877" s="21"/>
      <c r="U877" s="21"/>
      <c r="V877" s="42"/>
    </row>
    <row r="878">
      <c r="C878" s="9"/>
      <c r="K878" s="40"/>
      <c r="L878" s="9"/>
      <c r="M878" s="9"/>
      <c r="N878" s="40"/>
      <c r="O878" s="40"/>
      <c r="P878" s="40"/>
      <c r="Q878" s="41"/>
      <c r="R878" s="41"/>
      <c r="S878" s="41"/>
      <c r="T878" s="21"/>
      <c r="U878" s="21"/>
      <c r="V878" s="42"/>
    </row>
    <row r="879">
      <c r="C879" s="9"/>
      <c r="K879" s="40"/>
      <c r="L879" s="9"/>
      <c r="M879" s="9"/>
      <c r="N879" s="40"/>
      <c r="O879" s="40"/>
      <c r="P879" s="40"/>
      <c r="Q879" s="41"/>
      <c r="R879" s="41"/>
      <c r="S879" s="41"/>
      <c r="T879" s="21"/>
      <c r="U879" s="21"/>
      <c r="V879" s="42"/>
    </row>
    <row r="880">
      <c r="C880" s="9"/>
      <c r="K880" s="40"/>
      <c r="L880" s="9"/>
      <c r="M880" s="9"/>
      <c r="N880" s="40"/>
      <c r="O880" s="40"/>
      <c r="P880" s="40"/>
      <c r="Q880" s="41"/>
      <c r="R880" s="41"/>
      <c r="S880" s="41"/>
      <c r="T880" s="21"/>
      <c r="U880" s="21"/>
      <c r="V880" s="42"/>
    </row>
    <row r="881">
      <c r="C881" s="9"/>
      <c r="K881" s="40"/>
      <c r="L881" s="9"/>
      <c r="M881" s="9"/>
      <c r="N881" s="40"/>
      <c r="O881" s="40"/>
      <c r="P881" s="40"/>
      <c r="Q881" s="41"/>
      <c r="R881" s="41"/>
      <c r="S881" s="41"/>
      <c r="T881" s="21"/>
      <c r="U881" s="21"/>
      <c r="V881" s="42"/>
    </row>
    <row r="882">
      <c r="C882" s="9"/>
      <c r="K882" s="40"/>
      <c r="L882" s="9"/>
      <c r="M882" s="9"/>
      <c r="N882" s="40"/>
      <c r="O882" s="40"/>
      <c r="P882" s="40"/>
      <c r="Q882" s="41"/>
      <c r="R882" s="41"/>
      <c r="S882" s="41"/>
      <c r="T882" s="21"/>
      <c r="U882" s="21"/>
      <c r="V882" s="42"/>
    </row>
    <row r="883">
      <c r="C883" s="9"/>
      <c r="K883" s="40"/>
      <c r="L883" s="9"/>
      <c r="M883" s="9"/>
      <c r="N883" s="40"/>
      <c r="O883" s="40"/>
      <c r="P883" s="40"/>
      <c r="Q883" s="41"/>
      <c r="R883" s="41"/>
      <c r="S883" s="41"/>
      <c r="T883" s="21"/>
      <c r="U883" s="21"/>
      <c r="V883" s="42"/>
    </row>
    <row r="884">
      <c r="C884" s="9"/>
      <c r="K884" s="40"/>
      <c r="L884" s="9"/>
      <c r="M884" s="9"/>
      <c r="N884" s="40"/>
      <c r="O884" s="40"/>
      <c r="P884" s="40"/>
      <c r="Q884" s="41"/>
      <c r="R884" s="41"/>
      <c r="S884" s="41"/>
      <c r="T884" s="21"/>
      <c r="U884" s="21"/>
      <c r="V884" s="42"/>
    </row>
    <row r="885">
      <c r="C885" s="9"/>
      <c r="K885" s="40"/>
      <c r="L885" s="9"/>
      <c r="M885" s="9"/>
      <c r="N885" s="40"/>
      <c r="O885" s="40"/>
      <c r="P885" s="40"/>
      <c r="Q885" s="41"/>
      <c r="R885" s="41"/>
      <c r="S885" s="41"/>
      <c r="T885" s="21"/>
      <c r="U885" s="21"/>
      <c r="V885" s="42"/>
    </row>
    <row r="886">
      <c r="C886" s="9"/>
      <c r="K886" s="40"/>
      <c r="L886" s="9"/>
      <c r="M886" s="9"/>
      <c r="N886" s="40"/>
      <c r="O886" s="40"/>
      <c r="P886" s="40"/>
      <c r="Q886" s="41"/>
      <c r="R886" s="41"/>
      <c r="S886" s="41"/>
      <c r="T886" s="21"/>
      <c r="U886" s="21"/>
      <c r="V886" s="42"/>
    </row>
    <row r="887">
      <c r="C887" s="9"/>
      <c r="K887" s="40"/>
      <c r="L887" s="9"/>
      <c r="M887" s="9"/>
      <c r="N887" s="40"/>
      <c r="O887" s="40"/>
      <c r="P887" s="40"/>
      <c r="Q887" s="41"/>
      <c r="R887" s="41"/>
      <c r="S887" s="41"/>
      <c r="T887" s="21"/>
      <c r="U887" s="21"/>
      <c r="V887" s="42"/>
    </row>
    <row r="888">
      <c r="C888" s="9"/>
      <c r="K888" s="40"/>
      <c r="L888" s="9"/>
      <c r="M888" s="9"/>
      <c r="N888" s="40"/>
      <c r="O888" s="40"/>
      <c r="P888" s="40"/>
      <c r="Q888" s="41"/>
      <c r="R888" s="41"/>
      <c r="S888" s="41"/>
      <c r="T888" s="21"/>
      <c r="U888" s="21"/>
      <c r="V888" s="42"/>
    </row>
    <row r="889">
      <c r="C889" s="9"/>
      <c r="K889" s="40"/>
      <c r="L889" s="9"/>
      <c r="M889" s="9"/>
      <c r="N889" s="40"/>
      <c r="O889" s="40"/>
      <c r="P889" s="40"/>
      <c r="Q889" s="41"/>
      <c r="R889" s="41"/>
      <c r="S889" s="41"/>
      <c r="T889" s="21"/>
      <c r="U889" s="21"/>
      <c r="V889" s="42"/>
    </row>
    <row r="890">
      <c r="C890" s="9"/>
      <c r="K890" s="40"/>
      <c r="L890" s="9"/>
      <c r="M890" s="9"/>
      <c r="N890" s="40"/>
      <c r="O890" s="40"/>
      <c r="P890" s="40"/>
      <c r="Q890" s="41"/>
      <c r="R890" s="41"/>
      <c r="S890" s="41"/>
      <c r="T890" s="21"/>
      <c r="U890" s="21"/>
      <c r="V890" s="42"/>
    </row>
    <row r="891">
      <c r="C891" s="9"/>
      <c r="K891" s="40"/>
      <c r="L891" s="9"/>
      <c r="M891" s="9"/>
      <c r="N891" s="40"/>
      <c r="O891" s="40"/>
      <c r="P891" s="40"/>
      <c r="Q891" s="41"/>
      <c r="R891" s="41"/>
      <c r="S891" s="41"/>
      <c r="T891" s="21"/>
      <c r="U891" s="21"/>
      <c r="V891" s="42"/>
    </row>
    <row r="892">
      <c r="C892" s="9"/>
      <c r="K892" s="40"/>
      <c r="L892" s="9"/>
      <c r="M892" s="9"/>
      <c r="N892" s="40"/>
      <c r="O892" s="40"/>
      <c r="P892" s="40"/>
      <c r="Q892" s="41"/>
      <c r="R892" s="41"/>
      <c r="S892" s="41"/>
      <c r="T892" s="21"/>
      <c r="U892" s="21"/>
      <c r="V892" s="42"/>
    </row>
    <row r="893">
      <c r="C893" s="9"/>
      <c r="K893" s="40"/>
      <c r="L893" s="9"/>
      <c r="M893" s="9"/>
      <c r="N893" s="40"/>
      <c r="O893" s="40"/>
      <c r="P893" s="40"/>
      <c r="Q893" s="41"/>
      <c r="R893" s="41"/>
      <c r="S893" s="41"/>
      <c r="T893" s="21"/>
      <c r="U893" s="21"/>
      <c r="V893" s="42"/>
    </row>
    <row r="894">
      <c r="C894" s="9"/>
      <c r="K894" s="40"/>
      <c r="L894" s="9"/>
      <c r="M894" s="9"/>
      <c r="N894" s="40"/>
      <c r="O894" s="40"/>
      <c r="P894" s="40"/>
      <c r="Q894" s="41"/>
      <c r="R894" s="41"/>
      <c r="S894" s="41"/>
      <c r="T894" s="21"/>
      <c r="U894" s="21"/>
      <c r="V894" s="42"/>
    </row>
    <row r="895">
      <c r="C895" s="9"/>
      <c r="K895" s="40"/>
      <c r="L895" s="9"/>
      <c r="M895" s="9"/>
      <c r="N895" s="40"/>
      <c r="O895" s="40"/>
      <c r="P895" s="40"/>
      <c r="Q895" s="41"/>
      <c r="R895" s="41"/>
      <c r="S895" s="41"/>
      <c r="T895" s="21"/>
      <c r="U895" s="21"/>
      <c r="V895" s="42"/>
    </row>
    <row r="896">
      <c r="C896" s="9"/>
      <c r="K896" s="40"/>
      <c r="L896" s="9"/>
      <c r="M896" s="9"/>
      <c r="N896" s="40"/>
      <c r="O896" s="40"/>
      <c r="P896" s="40"/>
      <c r="Q896" s="41"/>
      <c r="R896" s="41"/>
      <c r="S896" s="41"/>
      <c r="T896" s="21"/>
      <c r="U896" s="21"/>
      <c r="V896" s="42"/>
    </row>
    <row r="897">
      <c r="C897" s="9"/>
      <c r="K897" s="40"/>
      <c r="L897" s="9"/>
      <c r="M897" s="9"/>
      <c r="N897" s="40"/>
      <c r="O897" s="40"/>
      <c r="P897" s="40"/>
      <c r="Q897" s="41"/>
      <c r="R897" s="41"/>
      <c r="S897" s="41"/>
      <c r="T897" s="21"/>
      <c r="U897" s="21"/>
      <c r="V897" s="42"/>
    </row>
    <row r="898">
      <c r="C898" s="9"/>
      <c r="K898" s="40"/>
      <c r="L898" s="9"/>
      <c r="M898" s="9"/>
      <c r="N898" s="40"/>
      <c r="O898" s="40"/>
      <c r="P898" s="40"/>
      <c r="Q898" s="41"/>
      <c r="R898" s="41"/>
      <c r="S898" s="41"/>
      <c r="T898" s="21"/>
      <c r="U898" s="21"/>
      <c r="V898" s="42"/>
    </row>
    <row r="899">
      <c r="C899" s="9"/>
      <c r="K899" s="40"/>
      <c r="L899" s="9"/>
      <c r="M899" s="9"/>
      <c r="N899" s="40"/>
      <c r="O899" s="40"/>
      <c r="P899" s="40"/>
      <c r="Q899" s="41"/>
      <c r="R899" s="41"/>
      <c r="S899" s="41"/>
      <c r="T899" s="21"/>
      <c r="U899" s="21"/>
      <c r="V899" s="42"/>
    </row>
    <row r="900">
      <c r="C900" s="9"/>
      <c r="K900" s="40"/>
      <c r="L900" s="9"/>
      <c r="M900" s="9"/>
      <c r="N900" s="40"/>
      <c r="O900" s="40"/>
      <c r="P900" s="40"/>
      <c r="Q900" s="41"/>
      <c r="R900" s="41"/>
      <c r="S900" s="41"/>
      <c r="T900" s="21"/>
      <c r="U900" s="21"/>
      <c r="V900" s="42"/>
    </row>
    <row r="901">
      <c r="C901" s="9"/>
      <c r="K901" s="40"/>
      <c r="L901" s="9"/>
      <c r="M901" s="9"/>
      <c r="N901" s="40"/>
      <c r="O901" s="40"/>
      <c r="P901" s="40"/>
      <c r="Q901" s="41"/>
      <c r="R901" s="41"/>
      <c r="S901" s="41"/>
      <c r="T901" s="21"/>
      <c r="U901" s="21"/>
      <c r="V901" s="42"/>
    </row>
    <row r="902">
      <c r="C902" s="9"/>
      <c r="K902" s="40"/>
      <c r="L902" s="9"/>
      <c r="M902" s="9"/>
      <c r="N902" s="40"/>
      <c r="O902" s="40"/>
      <c r="P902" s="40"/>
      <c r="Q902" s="41"/>
      <c r="R902" s="41"/>
      <c r="S902" s="41"/>
      <c r="T902" s="21"/>
      <c r="U902" s="21"/>
      <c r="V902" s="42"/>
    </row>
    <row r="903">
      <c r="C903" s="9"/>
      <c r="K903" s="40"/>
      <c r="L903" s="9"/>
      <c r="M903" s="9"/>
      <c r="N903" s="40"/>
      <c r="O903" s="40"/>
      <c r="P903" s="40"/>
      <c r="Q903" s="41"/>
      <c r="R903" s="41"/>
      <c r="S903" s="41"/>
      <c r="T903" s="21"/>
      <c r="U903" s="21"/>
      <c r="V903" s="42"/>
    </row>
    <row r="904">
      <c r="C904" s="9"/>
      <c r="K904" s="40"/>
      <c r="L904" s="9"/>
      <c r="M904" s="9"/>
      <c r="N904" s="40"/>
      <c r="O904" s="40"/>
      <c r="P904" s="40"/>
      <c r="Q904" s="41"/>
      <c r="R904" s="41"/>
      <c r="S904" s="41"/>
      <c r="T904" s="21"/>
      <c r="U904" s="21"/>
      <c r="V904" s="42"/>
    </row>
    <row r="905">
      <c r="C905" s="9"/>
      <c r="K905" s="40"/>
      <c r="L905" s="9"/>
      <c r="M905" s="9"/>
      <c r="N905" s="40"/>
      <c r="O905" s="40"/>
      <c r="P905" s="40"/>
      <c r="Q905" s="41"/>
      <c r="R905" s="41"/>
      <c r="S905" s="41"/>
      <c r="T905" s="21"/>
      <c r="U905" s="21"/>
      <c r="V905" s="42"/>
    </row>
    <row r="906">
      <c r="C906" s="9"/>
      <c r="K906" s="40"/>
      <c r="L906" s="9"/>
      <c r="M906" s="9"/>
      <c r="N906" s="40"/>
      <c r="O906" s="40"/>
      <c r="P906" s="40"/>
      <c r="Q906" s="41"/>
      <c r="R906" s="41"/>
      <c r="S906" s="41"/>
      <c r="T906" s="21"/>
      <c r="U906" s="21"/>
      <c r="V906" s="42"/>
    </row>
    <row r="907">
      <c r="C907" s="9"/>
      <c r="K907" s="40"/>
      <c r="L907" s="9"/>
      <c r="M907" s="9"/>
      <c r="N907" s="40"/>
      <c r="O907" s="40"/>
      <c r="P907" s="40"/>
      <c r="Q907" s="41"/>
      <c r="R907" s="41"/>
      <c r="S907" s="41"/>
      <c r="T907" s="21"/>
      <c r="U907" s="21"/>
      <c r="V907" s="42"/>
    </row>
    <row r="908">
      <c r="C908" s="9"/>
      <c r="K908" s="40"/>
      <c r="L908" s="9"/>
      <c r="M908" s="9"/>
      <c r="N908" s="40"/>
      <c r="O908" s="40"/>
      <c r="P908" s="40"/>
      <c r="Q908" s="41"/>
      <c r="R908" s="41"/>
      <c r="S908" s="41"/>
      <c r="T908" s="21"/>
      <c r="U908" s="21"/>
      <c r="V908" s="42"/>
    </row>
    <row r="909">
      <c r="C909" s="9"/>
      <c r="K909" s="40"/>
      <c r="L909" s="9"/>
      <c r="M909" s="9"/>
      <c r="N909" s="40"/>
      <c r="O909" s="40"/>
      <c r="P909" s="40"/>
      <c r="Q909" s="41"/>
      <c r="R909" s="41"/>
      <c r="S909" s="41"/>
      <c r="T909" s="21"/>
      <c r="U909" s="21"/>
      <c r="V909" s="42"/>
    </row>
    <row r="910">
      <c r="C910" s="9"/>
      <c r="K910" s="40"/>
      <c r="L910" s="9"/>
      <c r="M910" s="9"/>
      <c r="N910" s="40"/>
      <c r="O910" s="40"/>
      <c r="P910" s="40"/>
      <c r="Q910" s="41"/>
      <c r="R910" s="41"/>
      <c r="S910" s="41"/>
      <c r="T910" s="21"/>
      <c r="U910" s="21"/>
      <c r="V910" s="42"/>
    </row>
    <row r="911">
      <c r="C911" s="9"/>
      <c r="K911" s="40"/>
      <c r="L911" s="9"/>
      <c r="M911" s="9"/>
      <c r="N911" s="40"/>
      <c r="O911" s="40"/>
      <c r="P911" s="40"/>
      <c r="Q911" s="41"/>
      <c r="R911" s="41"/>
      <c r="S911" s="41"/>
      <c r="T911" s="21"/>
      <c r="U911" s="21"/>
      <c r="V911" s="42"/>
    </row>
    <row r="912">
      <c r="C912" s="9"/>
      <c r="K912" s="40"/>
      <c r="L912" s="9"/>
      <c r="M912" s="9"/>
      <c r="N912" s="40"/>
      <c r="O912" s="40"/>
      <c r="P912" s="40"/>
      <c r="Q912" s="41"/>
      <c r="R912" s="41"/>
      <c r="S912" s="41"/>
      <c r="T912" s="21"/>
      <c r="U912" s="21"/>
      <c r="V912" s="42"/>
    </row>
    <row r="913">
      <c r="C913" s="9"/>
      <c r="K913" s="40"/>
      <c r="L913" s="9"/>
      <c r="M913" s="9"/>
      <c r="N913" s="40"/>
      <c r="O913" s="40"/>
      <c r="P913" s="40"/>
      <c r="Q913" s="41"/>
      <c r="R913" s="41"/>
      <c r="S913" s="41"/>
      <c r="T913" s="21"/>
      <c r="U913" s="21"/>
      <c r="V913" s="42"/>
    </row>
    <row r="914">
      <c r="C914" s="9"/>
      <c r="K914" s="40"/>
      <c r="L914" s="9"/>
      <c r="M914" s="9"/>
      <c r="N914" s="40"/>
      <c r="O914" s="40"/>
      <c r="P914" s="40"/>
      <c r="Q914" s="41"/>
      <c r="R914" s="41"/>
      <c r="S914" s="41"/>
      <c r="T914" s="21"/>
      <c r="U914" s="21"/>
      <c r="V914" s="42"/>
    </row>
    <row r="915">
      <c r="C915" s="9"/>
      <c r="K915" s="40"/>
      <c r="L915" s="9"/>
      <c r="M915" s="9"/>
      <c r="N915" s="40"/>
      <c r="O915" s="40"/>
      <c r="P915" s="40"/>
      <c r="Q915" s="41"/>
      <c r="R915" s="41"/>
      <c r="S915" s="41"/>
      <c r="T915" s="21"/>
      <c r="U915" s="21"/>
      <c r="V915" s="42"/>
    </row>
    <row r="916">
      <c r="C916" s="9"/>
      <c r="K916" s="40"/>
      <c r="L916" s="9"/>
      <c r="M916" s="9"/>
      <c r="N916" s="40"/>
      <c r="O916" s="40"/>
      <c r="P916" s="40"/>
      <c r="Q916" s="41"/>
      <c r="R916" s="41"/>
      <c r="S916" s="41"/>
      <c r="T916" s="21"/>
      <c r="U916" s="21"/>
      <c r="V916" s="42"/>
    </row>
    <row r="917">
      <c r="C917" s="9"/>
      <c r="K917" s="40"/>
      <c r="L917" s="9"/>
      <c r="M917" s="9"/>
      <c r="N917" s="40"/>
      <c r="O917" s="40"/>
      <c r="P917" s="40"/>
      <c r="Q917" s="41"/>
      <c r="R917" s="41"/>
      <c r="S917" s="41"/>
      <c r="T917" s="21"/>
      <c r="U917" s="21"/>
      <c r="V917" s="42"/>
    </row>
    <row r="918">
      <c r="C918" s="9"/>
      <c r="K918" s="40"/>
      <c r="L918" s="9"/>
      <c r="M918" s="9"/>
      <c r="N918" s="40"/>
      <c r="O918" s="40"/>
      <c r="P918" s="40"/>
      <c r="Q918" s="41"/>
      <c r="R918" s="41"/>
      <c r="S918" s="41"/>
      <c r="T918" s="21"/>
      <c r="U918" s="21"/>
      <c r="V918" s="42"/>
    </row>
    <row r="919">
      <c r="C919" s="9"/>
      <c r="K919" s="40"/>
      <c r="L919" s="9"/>
      <c r="M919" s="9"/>
      <c r="N919" s="40"/>
      <c r="O919" s="40"/>
      <c r="P919" s="40"/>
      <c r="Q919" s="41"/>
      <c r="R919" s="41"/>
      <c r="S919" s="41"/>
      <c r="T919" s="21"/>
      <c r="U919" s="21"/>
      <c r="V919" s="42"/>
    </row>
    <row r="920">
      <c r="C920" s="9"/>
      <c r="K920" s="40"/>
      <c r="L920" s="9"/>
      <c r="M920" s="9"/>
      <c r="N920" s="40"/>
      <c r="O920" s="40"/>
      <c r="P920" s="40"/>
      <c r="Q920" s="41"/>
      <c r="R920" s="41"/>
      <c r="S920" s="41"/>
      <c r="T920" s="21"/>
      <c r="U920" s="21"/>
      <c r="V920" s="42"/>
    </row>
    <row r="921">
      <c r="C921" s="9"/>
      <c r="K921" s="40"/>
      <c r="L921" s="9"/>
      <c r="M921" s="9"/>
      <c r="N921" s="40"/>
      <c r="O921" s="40"/>
      <c r="P921" s="40"/>
      <c r="Q921" s="41"/>
      <c r="R921" s="41"/>
      <c r="S921" s="41"/>
      <c r="T921" s="21"/>
      <c r="U921" s="21"/>
      <c r="V921" s="42"/>
    </row>
    <row r="922">
      <c r="C922" s="9"/>
      <c r="K922" s="40"/>
      <c r="L922" s="9"/>
      <c r="M922" s="9"/>
      <c r="N922" s="40"/>
      <c r="O922" s="40"/>
      <c r="P922" s="40"/>
      <c r="Q922" s="41"/>
      <c r="R922" s="41"/>
      <c r="S922" s="41"/>
      <c r="T922" s="21"/>
      <c r="U922" s="21"/>
      <c r="V922" s="42"/>
    </row>
    <row r="923">
      <c r="C923" s="9"/>
      <c r="K923" s="40"/>
      <c r="L923" s="9"/>
      <c r="M923" s="9"/>
      <c r="N923" s="40"/>
      <c r="O923" s="40"/>
      <c r="P923" s="40"/>
      <c r="Q923" s="41"/>
      <c r="R923" s="41"/>
      <c r="S923" s="41"/>
      <c r="T923" s="21"/>
      <c r="U923" s="21"/>
      <c r="V923" s="42"/>
    </row>
    <row r="924">
      <c r="C924" s="9"/>
      <c r="K924" s="40"/>
      <c r="L924" s="9"/>
      <c r="M924" s="9"/>
      <c r="N924" s="40"/>
      <c r="O924" s="40"/>
      <c r="P924" s="40"/>
      <c r="Q924" s="41"/>
      <c r="R924" s="41"/>
      <c r="S924" s="41"/>
      <c r="T924" s="21"/>
      <c r="U924" s="21"/>
      <c r="V924" s="42"/>
    </row>
    <row r="925">
      <c r="C925" s="9"/>
      <c r="K925" s="40"/>
      <c r="L925" s="9"/>
      <c r="M925" s="9"/>
      <c r="N925" s="40"/>
      <c r="O925" s="40"/>
      <c r="P925" s="40"/>
      <c r="Q925" s="41"/>
      <c r="R925" s="41"/>
      <c r="S925" s="41"/>
      <c r="T925" s="21"/>
      <c r="U925" s="21"/>
      <c r="V925" s="42"/>
    </row>
    <row r="926">
      <c r="C926" s="9"/>
      <c r="K926" s="40"/>
      <c r="L926" s="9"/>
      <c r="M926" s="9"/>
      <c r="N926" s="40"/>
      <c r="O926" s="40"/>
      <c r="P926" s="40"/>
      <c r="Q926" s="41"/>
      <c r="R926" s="41"/>
      <c r="S926" s="41"/>
      <c r="T926" s="21"/>
      <c r="U926" s="21"/>
      <c r="V926" s="42"/>
    </row>
    <row r="927">
      <c r="C927" s="9"/>
      <c r="K927" s="40"/>
      <c r="L927" s="9"/>
      <c r="M927" s="9"/>
      <c r="N927" s="40"/>
      <c r="O927" s="40"/>
      <c r="P927" s="40"/>
      <c r="Q927" s="41"/>
      <c r="R927" s="41"/>
      <c r="S927" s="41"/>
      <c r="T927" s="21"/>
      <c r="U927" s="21"/>
      <c r="V927" s="42"/>
    </row>
    <row r="928">
      <c r="C928" s="9"/>
      <c r="K928" s="40"/>
      <c r="L928" s="9"/>
      <c r="M928" s="9"/>
      <c r="N928" s="40"/>
      <c r="O928" s="40"/>
      <c r="P928" s="40"/>
      <c r="Q928" s="41"/>
      <c r="R928" s="41"/>
      <c r="S928" s="41"/>
      <c r="T928" s="21"/>
      <c r="U928" s="21"/>
      <c r="V928" s="42"/>
    </row>
    <row r="929">
      <c r="C929" s="9"/>
      <c r="K929" s="40"/>
      <c r="L929" s="9"/>
      <c r="M929" s="9"/>
      <c r="N929" s="40"/>
      <c r="O929" s="40"/>
      <c r="P929" s="40"/>
      <c r="Q929" s="41"/>
      <c r="R929" s="41"/>
      <c r="S929" s="41"/>
      <c r="T929" s="21"/>
      <c r="U929" s="21"/>
      <c r="V929" s="42"/>
    </row>
    <row r="930">
      <c r="C930" s="9"/>
      <c r="K930" s="40"/>
      <c r="L930" s="9"/>
      <c r="M930" s="9"/>
      <c r="N930" s="40"/>
      <c r="O930" s="40"/>
      <c r="P930" s="40"/>
      <c r="Q930" s="41"/>
      <c r="R930" s="41"/>
      <c r="S930" s="41"/>
      <c r="T930" s="21"/>
      <c r="U930" s="21"/>
      <c r="V930" s="42"/>
    </row>
    <row r="931">
      <c r="C931" s="9"/>
      <c r="K931" s="40"/>
      <c r="L931" s="9"/>
      <c r="M931" s="9"/>
      <c r="N931" s="40"/>
      <c r="O931" s="40"/>
      <c r="P931" s="40"/>
      <c r="Q931" s="41"/>
      <c r="R931" s="41"/>
      <c r="S931" s="41"/>
      <c r="T931" s="21"/>
      <c r="U931" s="21"/>
      <c r="V931" s="42"/>
    </row>
    <row r="932">
      <c r="C932" s="9"/>
      <c r="K932" s="40"/>
      <c r="L932" s="9"/>
      <c r="M932" s="9"/>
      <c r="N932" s="40"/>
      <c r="O932" s="40"/>
      <c r="P932" s="40"/>
      <c r="Q932" s="41"/>
      <c r="R932" s="41"/>
      <c r="S932" s="41"/>
      <c r="T932" s="21"/>
      <c r="U932" s="21"/>
      <c r="V932" s="42"/>
    </row>
    <row r="933">
      <c r="C933" s="9"/>
      <c r="K933" s="40"/>
      <c r="L933" s="9"/>
      <c r="M933" s="9"/>
      <c r="N933" s="40"/>
      <c r="O933" s="40"/>
      <c r="P933" s="40"/>
      <c r="Q933" s="41"/>
      <c r="R933" s="41"/>
      <c r="S933" s="41"/>
      <c r="T933" s="21"/>
      <c r="U933" s="21"/>
      <c r="V933" s="42"/>
    </row>
    <row r="934">
      <c r="C934" s="9"/>
      <c r="K934" s="40"/>
      <c r="L934" s="9"/>
      <c r="M934" s="9"/>
      <c r="N934" s="40"/>
      <c r="O934" s="40"/>
      <c r="P934" s="40"/>
      <c r="Q934" s="41"/>
      <c r="R934" s="41"/>
      <c r="S934" s="41"/>
      <c r="T934" s="21"/>
      <c r="U934" s="21"/>
      <c r="V934" s="42"/>
    </row>
    <row r="935">
      <c r="C935" s="9"/>
      <c r="K935" s="40"/>
      <c r="L935" s="9"/>
      <c r="M935" s="9"/>
      <c r="N935" s="40"/>
      <c r="O935" s="40"/>
      <c r="P935" s="40"/>
      <c r="Q935" s="41"/>
      <c r="R935" s="41"/>
      <c r="S935" s="41"/>
      <c r="T935" s="21"/>
      <c r="U935" s="21"/>
      <c r="V935" s="42"/>
    </row>
    <row r="936">
      <c r="C936" s="9"/>
      <c r="K936" s="40"/>
      <c r="L936" s="9"/>
      <c r="M936" s="9"/>
      <c r="N936" s="40"/>
      <c r="O936" s="40"/>
      <c r="P936" s="40"/>
      <c r="Q936" s="41"/>
      <c r="R936" s="41"/>
      <c r="S936" s="41"/>
      <c r="T936" s="21"/>
      <c r="U936" s="21"/>
      <c r="V936" s="42"/>
    </row>
    <row r="937">
      <c r="C937" s="9"/>
      <c r="K937" s="40"/>
      <c r="L937" s="9"/>
      <c r="M937" s="9"/>
      <c r="N937" s="40"/>
      <c r="O937" s="40"/>
      <c r="P937" s="40"/>
      <c r="Q937" s="41"/>
      <c r="R937" s="41"/>
      <c r="S937" s="41"/>
      <c r="T937" s="21"/>
      <c r="U937" s="21"/>
      <c r="V937" s="42"/>
    </row>
    <row r="938">
      <c r="C938" s="9"/>
      <c r="K938" s="40"/>
      <c r="L938" s="9"/>
      <c r="M938" s="9"/>
      <c r="N938" s="40"/>
      <c r="O938" s="40"/>
      <c r="P938" s="40"/>
      <c r="Q938" s="41"/>
      <c r="R938" s="41"/>
      <c r="S938" s="41"/>
      <c r="T938" s="21"/>
      <c r="U938" s="21"/>
      <c r="V938" s="42"/>
    </row>
    <row r="939">
      <c r="C939" s="9"/>
      <c r="K939" s="40"/>
      <c r="L939" s="9"/>
      <c r="M939" s="9"/>
      <c r="N939" s="40"/>
      <c r="O939" s="40"/>
      <c r="P939" s="40"/>
      <c r="Q939" s="41"/>
      <c r="R939" s="41"/>
      <c r="S939" s="41"/>
      <c r="T939" s="21"/>
      <c r="U939" s="21"/>
      <c r="V939" s="42"/>
    </row>
    <row r="940">
      <c r="C940" s="9"/>
      <c r="K940" s="40"/>
      <c r="L940" s="9"/>
      <c r="M940" s="9"/>
      <c r="N940" s="40"/>
      <c r="O940" s="40"/>
      <c r="P940" s="40"/>
      <c r="Q940" s="41"/>
      <c r="R940" s="41"/>
      <c r="S940" s="41"/>
      <c r="T940" s="21"/>
      <c r="U940" s="21"/>
      <c r="V940" s="42"/>
    </row>
    <row r="941">
      <c r="C941" s="9"/>
      <c r="K941" s="40"/>
      <c r="L941" s="9"/>
      <c r="M941" s="9"/>
      <c r="N941" s="40"/>
      <c r="O941" s="40"/>
      <c r="P941" s="40"/>
      <c r="Q941" s="41"/>
      <c r="R941" s="41"/>
      <c r="S941" s="41"/>
      <c r="T941" s="21"/>
      <c r="U941" s="21"/>
      <c r="V941" s="42"/>
    </row>
    <row r="942">
      <c r="C942" s="9"/>
      <c r="K942" s="40"/>
      <c r="L942" s="9"/>
      <c r="M942" s="9"/>
      <c r="N942" s="40"/>
      <c r="O942" s="40"/>
      <c r="P942" s="40"/>
      <c r="Q942" s="41"/>
      <c r="R942" s="41"/>
      <c r="S942" s="41"/>
      <c r="T942" s="21"/>
      <c r="U942" s="21"/>
      <c r="V942" s="42"/>
    </row>
    <row r="943">
      <c r="C943" s="9"/>
      <c r="K943" s="40"/>
      <c r="L943" s="9"/>
      <c r="M943" s="9"/>
      <c r="N943" s="40"/>
      <c r="O943" s="40"/>
      <c r="P943" s="40"/>
      <c r="Q943" s="41"/>
      <c r="R943" s="41"/>
      <c r="S943" s="41"/>
      <c r="T943" s="21"/>
      <c r="U943" s="21"/>
      <c r="V943" s="42"/>
    </row>
    <row r="944">
      <c r="C944" s="9"/>
      <c r="K944" s="40"/>
      <c r="L944" s="9"/>
      <c r="M944" s="9"/>
      <c r="N944" s="40"/>
      <c r="O944" s="40"/>
      <c r="P944" s="40"/>
      <c r="Q944" s="41"/>
      <c r="R944" s="41"/>
      <c r="S944" s="41"/>
      <c r="T944" s="21"/>
      <c r="U944" s="21"/>
      <c r="V944" s="42"/>
    </row>
    <row r="945">
      <c r="C945" s="9"/>
      <c r="K945" s="40"/>
      <c r="L945" s="9"/>
      <c r="M945" s="9"/>
      <c r="N945" s="40"/>
      <c r="O945" s="40"/>
      <c r="P945" s="40"/>
      <c r="Q945" s="41"/>
      <c r="R945" s="41"/>
      <c r="S945" s="41"/>
      <c r="T945" s="21"/>
      <c r="U945" s="21"/>
      <c r="V945" s="42"/>
    </row>
    <row r="946">
      <c r="C946" s="9"/>
      <c r="K946" s="40"/>
      <c r="L946" s="9"/>
      <c r="M946" s="9"/>
      <c r="N946" s="40"/>
      <c r="O946" s="40"/>
      <c r="P946" s="40"/>
      <c r="Q946" s="41"/>
      <c r="R946" s="41"/>
      <c r="S946" s="41"/>
      <c r="T946" s="21"/>
      <c r="U946" s="21"/>
      <c r="V946" s="42"/>
    </row>
    <row r="947">
      <c r="C947" s="9"/>
      <c r="K947" s="40"/>
      <c r="L947" s="9"/>
      <c r="M947" s="9"/>
      <c r="N947" s="40"/>
      <c r="O947" s="40"/>
      <c r="P947" s="40"/>
      <c r="Q947" s="41"/>
      <c r="R947" s="41"/>
      <c r="S947" s="41"/>
      <c r="T947" s="21"/>
      <c r="U947" s="21"/>
      <c r="V947" s="42"/>
    </row>
    <row r="948">
      <c r="C948" s="9"/>
      <c r="K948" s="40"/>
      <c r="L948" s="9"/>
      <c r="M948" s="9"/>
      <c r="N948" s="40"/>
      <c r="O948" s="40"/>
      <c r="P948" s="40"/>
      <c r="Q948" s="41"/>
      <c r="R948" s="41"/>
      <c r="S948" s="41"/>
      <c r="T948" s="21"/>
      <c r="U948" s="21"/>
      <c r="V948" s="42"/>
    </row>
    <row r="949">
      <c r="C949" s="9"/>
      <c r="K949" s="40"/>
      <c r="L949" s="9"/>
      <c r="M949" s="9"/>
      <c r="N949" s="40"/>
      <c r="O949" s="40"/>
      <c r="P949" s="40"/>
      <c r="Q949" s="41"/>
      <c r="R949" s="41"/>
      <c r="S949" s="41"/>
      <c r="T949" s="21"/>
      <c r="U949" s="21"/>
      <c r="V949" s="42"/>
    </row>
    <row r="950">
      <c r="C950" s="9"/>
      <c r="K950" s="40"/>
      <c r="L950" s="9"/>
      <c r="M950" s="9"/>
      <c r="N950" s="40"/>
      <c r="O950" s="40"/>
      <c r="P950" s="40"/>
      <c r="Q950" s="41"/>
      <c r="R950" s="41"/>
      <c r="S950" s="41"/>
      <c r="T950" s="21"/>
      <c r="U950" s="21"/>
      <c r="V950" s="42"/>
    </row>
    <row r="951">
      <c r="C951" s="9"/>
      <c r="K951" s="40"/>
      <c r="L951" s="9"/>
      <c r="M951" s="9"/>
      <c r="N951" s="40"/>
      <c r="O951" s="40"/>
      <c r="P951" s="40"/>
      <c r="Q951" s="41"/>
      <c r="R951" s="41"/>
      <c r="S951" s="41"/>
      <c r="T951" s="21"/>
      <c r="U951" s="21"/>
      <c r="V951" s="42"/>
    </row>
    <row r="952">
      <c r="C952" s="9"/>
      <c r="K952" s="40"/>
      <c r="L952" s="9"/>
      <c r="M952" s="9"/>
      <c r="N952" s="40"/>
      <c r="O952" s="40"/>
      <c r="P952" s="40"/>
      <c r="Q952" s="41"/>
      <c r="R952" s="41"/>
      <c r="S952" s="41"/>
      <c r="T952" s="21"/>
      <c r="U952" s="21"/>
      <c r="V952" s="42"/>
    </row>
    <row r="953">
      <c r="C953" s="9"/>
      <c r="K953" s="40"/>
      <c r="L953" s="9"/>
      <c r="M953" s="9"/>
      <c r="N953" s="40"/>
      <c r="O953" s="40"/>
      <c r="P953" s="40"/>
      <c r="Q953" s="41"/>
      <c r="R953" s="41"/>
      <c r="S953" s="41"/>
      <c r="T953" s="21"/>
      <c r="U953" s="21"/>
      <c r="V953" s="42"/>
    </row>
    <row r="954">
      <c r="C954" s="9"/>
      <c r="K954" s="40"/>
      <c r="L954" s="9"/>
      <c r="M954" s="9"/>
      <c r="N954" s="40"/>
      <c r="O954" s="40"/>
      <c r="P954" s="40"/>
      <c r="Q954" s="41"/>
      <c r="R954" s="41"/>
      <c r="S954" s="41"/>
      <c r="T954" s="21"/>
      <c r="U954" s="21"/>
      <c r="V954" s="42"/>
    </row>
    <row r="955">
      <c r="C955" s="9"/>
      <c r="K955" s="40"/>
      <c r="L955" s="9"/>
      <c r="M955" s="9"/>
      <c r="N955" s="40"/>
      <c r="O955" s="40"/>
      <c r="P955" s="40"/>
      <c r="Q955" s="41"/>
      <c r="R955" s="41"/>
      <c r="S955" s="41"/>
      <c r="T955" s="21"/>
      <c r="U955" s="21"/>
      <c r="V955" s="42"/>
    </row>
    <row r="956">
      <c r="C956" s="9"/>
      <c r="K956" s="40"/>
      <c r="L956" s="9"/>
      <c r="M956" s="9"/>
      <c r="N956" s="40"/>
      <c r="O956" s="40"/>
      <c r="P956" s="40"/>
      <c r="Q956" s="41"/>
      <c r="R956" s="41"/>
      <c r="S956" s="41"/>
      <c r="T956" s="21"/>
      <c r="U956" s="21"/>
      <c r="V956" s="42"/>
    </row>
    <row r="957">
      <c r="C957" s="9"/>
      <c r="K957" s="40"/>
      <c r="L957" s="9"/>
      <c r="M957" s="9"/>
      <c r="N957" s="40"/>
      <c r="O957" s="40"/>
      <c r="P957" s="40"/>
      <c r="Q957" s="41"/>
      <c r="R957" s="41"/>
      <c r="S957" s="41"/>
      <c r="T957" s="21"/>
      <c r="U957" s="21"/>
      <c r="V957" s="42"/>
    </row>
    <row r="958">
      <c r="C958" s="9"/>
      <c r="K958" s="40"/>
      <c r="L958" s="9"/>
      <c r="M958" s="9"/>
      <c r="N958" s="40"/>
      <c r="O958" s="40"/>
      <c r="P958" s="40"/>
      <c r="Q958" s="41"/>
      <c r="R958" s="41"/>
      <c r="S958" s="41"/>
      <c r="T958" s="21"/>
      <c r="U958" s="21"/>
      <c r="V958" s="42"/>
    </row>
    <row r="959">
      <c r="C959" s="9"/>
      <c r="K959" s="40"/>
      <c r="L959" s="9"/>
      <c r="M959" s="9"/>
      <c r="N959" s="40"/>
      <c r="O959" s="40"/>
      <c r="P959" s="40"/>
      <c r="Q959" s="41"/>
      <c r="R959" s="41"/>
      <c r="S959" s="41"/>
      <c r="T959" s="21"/>
      <c r="U959" s="21"/>
      <c r="V959" s="42"/>
    </row>
    <row r="960">
      <c r="C960" s="9"/>
      <c r="K960" s="40"/>
      <c r="L960" s="9"/>
      <c r="M960" s="9"/>
      <c r="N960" s="40"/>
      <c r="O960" s="40"/>
      <c r="P960" s="40"/>
      <c r="Q960" s="41"/>
      <c r="R960" s="41"/>
      <c r="S960" s="41"/>
      <c r="T960" s="21"/>
      <c r="U960" s="21"/>
      <c r="V960" s="42"/>
    </row>
    <row r="961">
      <c r="C961" s="9"/>
      <c r="K961" s="40"/>
      <c r="L961" s="9"/>
      <c r="M961" s="9"/>
      <c r="N961" s="40"/>
      <c r="O961" s="40"/>
      <c r="P961" s="40"/>
      <c r="Q961" s="41"/>
      <c r="R961" s="41"/>
      <c r="S961" s="41"/>
      <c r="T961" s="21"/>
      <c r="U961" s="21"/>
      <c r="V961" s="42"/>
    </row>
    <row r="962">
      <c r="C962" s="9"/>
      <c r="K962" s="40"/>
      <c r="L962" s="9"/>
      <c r="M962" s="9"/>
      <c r="N962" s="40"/>
      <c r="O962" s="40"/>
      <c r="P962" s="40"/>
      <c r="Q962" s="41"/>
      <c r="R962" s="41"/>
      <c r="S962" s="41"/>
      <c r="T962" s="21"/>
      <c r="U962" s="21"/>
      <c r="V962" s="42"/>
    </row>
    <row r="963">
      <c r="C963" s="9"/>
      <c r="K963" s="40"/>
      <c r="L963" s="9"/>
      <c r="M963" s="9"/>
      <c r="N963" s="40"/>
      <c r="O963" s="40"/>
      <c r="P963" s="40"/>
      <c r="Q963" s="41"/>
      <c r="R963" s="41"/>
      <c r="S963" s="41"/>
      <c r="T963" s="21"/>
      <c r="U963" s="21"/>
      <c r="V963" s="42"/>
    </row>
    <row r="964">
      <c r="C964" s="9"/>
      <c r="K964" s="40"/>
      <c r="L964" s="9"/>
      <c r="M964" s="9"/>
      <c r="N964" s="40"/>
      <c r="O964" s="40"/>
      <c r="P964" s="40"/>
      <c r="Q964" s="41"/>
      <c r="R964" s="41"/>
      <c r="S964" s="41"/>
      <c r="T964" s="21"/>
      <c r="U964" s="21"/>
      <c r="V964" s="42"/>
    </row>
    <row r="965">
      <c r="C965" s="9"/>
      <c r="K965" s="40"/>
      <c r="L965" s="9"/>
      <c r="M965" s="9"/>
      <c r="N965" s="40"/>
      <c r="O965" s="40"/>
      <c r="P965" s="40"/>
      <c r="Q965" s="41"/>
      <c r="R965" s="41"/>
      <c r="S965" s="41"/>
      <c r="T965" s="21"/>
      <c r="U965" s="21"/>
      <c r="V965" s="42"/>
    </row>
    <row r="966">
      <c r="C966" s="9"/>
      <c r="K966" s="40"/>
      <c r="L966" s="9"/>
      <c r="M966" s="9"/>
      <c r="N966" s="40"/>
      <c r="O966" s="40"/>
      <c r="P966" s="40"/>
      <c r="Q966" s="41"/>
      <c r="R966" s="41"/>
      <c r="S966" s="41"/>
      <c r="T966" s="21"/>
      <c r="U966" s="21"/>
      <c r="V966" s="42"/>
    </row>
    <row r="967">
      <c r="C967" s="9"/>
      <c r="K967" s="40"/>
      <c r="L967" s="9"/>
      <c r="M967" s="9"/>
      <c r="N967" s="40"/>
      <c r="O967" s="40"/>
      <c r="P967" s="40"/>
      <c r="Q967" s="41"/>
      <c r="R967" s="41"/>
      <c r="S967" s="41"/>
      <c r="T967" s="21"/>
      <c r="U967" s="21"/>
      <c r="V967" s="42"/>
    </row>
    <row r="968">
      <c r="C968" s="9"/>
      <c r="K968" s="40"/>
      <c r="L968" s="9"/>
      <c r="M968" s="9"/>
      <c r="N968" s="40"/>
      <c r="O968" s="40"/>
      <c r="P968" s="40"/>
      <c r="Q968" s="41"/>
      <c r="R968" s="41"/>
      <c r="S968" s="41"/>
      <c r="T968" s="21"/>
      <c r="U968" s="21"/>
      <c r="V968" s="42"/>
    </row>
    <row r="969">
      <c r="C969" s="9"/>
      <c r="K969" s="40"/>
      <c r="L969" s="9"/>
      <c r="M969" s="9"/>
      <c r="N969" s="40"/>
      <c r="O969" s="40"/>
      <c r="P969" s="40"/>
      <c r="Q969" s="41"/>
      <c r="R969" s="41"/>
      <c r="S969" s="41"/>
      <c r="T969" s="21"/>
      <c r="U969" s="21"/>
      <c r="V969" s="42"/>
    </row>
    <row r="970">
      <c r="C970" s="9"/>
      <c r="K970" s="40"/>
      <c r="L970" s="9"/>
      <c r="M970" s="9"/>
      <c r="N970" s="40"/>
      <c r="O970" s="40"/>
      <c r="P970" s="40"/>
      <c r="Q970" s="41"/>
      <c r="R970" s="41"/>
      <c r="S970" s="41"/>
      <c r="T970" s="21"/>
      <c r="U970" s="21"/>
      <c r="V970" s="42"/>
    </row>
    <row r="971">
      <c r="C971" s="9"/>
      <c r="K971" s="40"/>
      <c r="L971" s="9"/>
      <c r="M971" s="9"/>
      <c r="N971" s="40"/>
      <c r="O971" s="40"/>
      <c r="P971" s="40"/>
      <c r="Q971" s="41"/>
      <c r="R971" s="41"/>
      <c r="S971" s="41"/>
      <c r="T971" s="21"/>
      <c r="U971" s="21"/>
      <c r="V971" s="42"/>
    </row>
    <row r="972">
      <c r="C972" s="9"/>
      <c r="K972" s="40"/>
      <c r="L972" s="9"/>
      <c r="M972" s="9"/>
      <c r="N972" s="40"/>
      <c r="O972" s="40"/>
      <c r="P972" s="40"/>
      <c r="Q972" s="41"/>
      <c r="R972" s="41"/>
      <c r="S972" s="41"/>
      <c r="T972" s="21"/>
      <c r="U972" s="21"/>
      <c r="V972" s="42"/>
    </row>
    <row r="973">
      <c r="C973" s="9"/>
      <c r="K973" s="40"/>
      <c r="L973" s="9"/>
      <c r="M973" s="9"/>
      <c r="N973" s="40"/>
      <c r="O973" s="40"/>
      <c r="P973" s="40"/>
      <c r="Q973" s="41"/>
      <c r="R973" s="41"/>
      <c r="S973" s="41"/>
      <c r="T973" s="21"/>
      <c r="U973" s="21"/>
      <c r="V973" s="42"/>
    </row>
    <row r="974">
      <c r="C974" s="9"/>
      <c r="K974" s="40"/>
      <c r="L974" s="9"/>
      <c r="M974" s="9"/>
      <c r="N974" s="40"/>
      <c r="O974" s="40"/>
      <c r="P974" s="40"/>
      <c r="Q974" s="41"/>
      <c r="R974" s="41"/>
      <c r="S974" s="41"/>
      <c r="T974" s="21"/>
      <c r="U974" s="21"/>
      <c r="V974" s="42"/>
    </row>
    <row r="975">
      <c r="C975" s="9"/>
      <c r="K975" s="40"/>
      <c r="L975" s="9"/>
      <c r="M975" s="9"/>
      <c r="N975" s="40"/>
      <c r="O975" s="40"/>
      <c r="P975" s="40"/>
      <c r="Q975" s="41"/>
      <c r="R975" s="41"/>
      <c r="S975" s="41"/>
      <c r="T975" s="21"/>
      <c r="U975" s="21"/>
      <c r="V975" s="42"/>
    </row>
    <row r="976">
      <c r="C976" s="9"/>
      <c r="K976" s="40"/>
      <c r="L976" s="9"/>
      <c r="M976" s="9"/>
      <c r="N976" s="40"/>
      <c r="O976" s="40"/>
      <c r="P976" s="40"/>
      <c r="Q976" s="41"/>
      <c r="R976" s="41"/>
      <c r="S976" s="41"/>
      <c r="T976" s="21"/>
      <c r="U976" s="21"/>
      <c r="V976" s="42"/>
    </row>
    <row r="977">
      <c r="C977" s="9"/>
      <c r="K977" s="40"/>
      <c r="L977" s="9"/>
      <c r="M977" s="9"/>
      <c r="N977" s="40"/>
      <c r="O977" s="40"/>
      <c r="P977" s="40"/>
      <c r="Q977" s="41"/>
      <c r="R977" s="41"/>
      <c r="S977" s="41"/>
      <c r="T977" s="21"/>
      <c r="U977" s="21"/>
      <c r="V977" s="42"/>
    </row>
    <row r="978">
      <c r="C978" s="9"/>
      <c r="K978" s="40"/>
      <c r="L978" s="9"/>
      <c r="M978" s="9"/>
      <c r="N978" s="40"/>
      <c r="O978" s="40"/>
      <c r="P978" s="40"/>
      <c r="Q978" s="41"/>
      <c r="R978" s="41"/>
      <c r="S978" s="41"/>
      <c r="T978" s="21"/>
      <c r="U978" s="21"/>
      <c r="V978" s="42"/>
    </row>
    <row r="979">
      <c r="C979" s="9"/>
      <c r="K979" s="40"/>
      <c r="L979" s="9"/>
      <c r="M979" s="9"/>
      <c r="N979" s="40"/>
      <c r="O979" s="40"/>
      <c r="P979" s="40"/>
      <c r="Q979" s="41"/>
      <c r="R979" s="41"/>
      <c r="S979" s="41"/>
      <c r="T979" s="21"/>
      <c r="U979" s="21"/>
      <c r="V979" s="42"/>
    </row>
    <row r="980">
      <c r="C980" s="9"/>
      <c r="K980" s="40"/>
      <c r="L980" s="9"/>
      <c r="M980" s="9"/>
      <c r="N980" s="40"/>
      <c r="O980" s="40"/>
      <c r="P980" s="40"/>
      <c r="Q980" s="41"/>
      <c r="R980" s="41"/>
      <c r="S980" s="41"/>
      <c r="T980" s="21"/>
      <c r="U980" s="21"/>
      <c r="V980" s="42"/>
    </row>
    <row r="981">
      <c r="C981" s="9"/>
      <c r="K981" s="40"/>
      <c r="L981" s="9"/>
      <c r="M981" s="9"/>
      <c r="N981" s="40"/>
      <c r="O981" s="40"/>
      <c r="P981" s="40"/>
      <c r="Q981" s="41"/>
      <c r="R981" s="41"/>
      <c r="S981" s="41"/>
      <c r="T981" s="21"/>
      <c r="U981" s="21"/>
      <c r="V981" s="42"/>
    </row>
    <row r="982">
      <c r="C982" s="9"/>
      <c r="K982" s="40"/>
      <c r="L982" s="9"/>
      <c r="M982" s="9"/>
      <c r="N982" s="40"/>
      <c r="O982" s="40"/>
      <c r="P982" s="40"/>
      <c r="Q982" s="41"/>
      <c r="R982" s="41"/>
      <c r="S982" s="41"/>
      <c r="T982" s="21"/>
      <c r="U982" s="21"/>
      <c r="V982" s="42"/>
    </row>
    <row r="983">
      <c r="C983" s="9"/>
      <c r="K983" s="40"/>
      <c r="L983" s="9"/>
      <c r="M983" s="9"/>
      <c r="N983" s="40"/>
      <c r="O983" s="40"/>
      <c r="P983" s="40"/>
      <c r="Q983" s="41"/>
      <c r="R983" s="41"/>
      <c r="S983" s="41"/>
      <c r="T983" s="21"/>
      <c r="U983" s="21"/>
      <c r="V983" s="42"/>
    </row>
    <row r="984">
      <c r="C984" s="9"/>
      <c r="K984" s="40"/>
      <c r="L984" s="9"/>
      <c r="M984" s="9"/>
      <c r="N984" s="40"/>
      <c r="O984" s="40"/>
      <c r="P984" s="40"/>
      <c r="Q984" s="41"/>
      <c r="R984" s="41"/>
      <c r="S984" s="41"/>
      <c r="T984" s="21"/>
      <c r="U984" s="21"/>
      <c r="V984" s="42"/>
    </row>
    <row r="985">
      <c r="C985" s="9"/>
      <c r="K985" s="40"/>
      <c r="L985" s="9"/>
      <c r="M985" s="9"/>
      <c r="N985" s="40"/>
      <c r="O985" s="40"/>
      <c r="P985" s="40"/>
      <c r="Q985" s="41"/>
      <c r="R985" s="41"/>
      <c r="S985" s="41"/>
      <c r="T985" s="21"/>
      <c r="U985" s="21"/>
      <c r="V985" s="42"/>
    </row>
    <row r="986">
      <c r="C986" s="9"/>
      <c r="K986" s="40"/>
      <c r="L986" s="9"/>
      <c r="M986" s="9"/>
      <c r="N986" s="40"/>
      <c r="O986" s="40"/>
      <c r="P986" s="40"/>
      <c r="Q986" s="41"/>
      <c r="R986" s="41"/>
      <c r="S986" s="41"/>
      <c r="T986" s="21"/>
      <c r="U986" s="21"/>
      <c r="V986" s="42"/>
    </row>
    <row r="987">
      <c r="C987" s="9"/>
      <c r="K987" s="40"/>
      <c r="L987" s="9"/>
      <c r="M987" s="9"/>
      <c r="N987" s="40"/>
      <c r="O987" s="40"/>
      <c r="P987" s="40"/>
      <c r="Q987" s="41"/>
      <c r="R987" s="41"/>
      <c r="S987" s="41"/>
      <c r="T987" s="21"/>
      <c r="U987" s="21"/>
      <c r="V987" s="42"/>
    </row>
    <row r="988">
      <c r="C988" s="9"/>
      <c r="K988" s="40"/>
      <c r="L988" s="9"/>
      <c r="M988" s="9"/>
      <c r="N988" s="40"/>
      <c r="O988" s="40"/>
      <c r="P988" s="40"/>
      <c r="Q988" s="41"/>
      <c r="R988" s="41"/>
      <c r="S988" s="41"/>
      <c r="T988" s="21"/>
      <c r="U988" s="21"/>
      <c r="V988" s="42"/>
    </row>
    <row r="989">
      <c r="C989" s="9"/>
      <c r="K989" s="40"/>
      <c r="L989" s="9"/>
      <c r="M989" s="9"/>
      <c r="N989" s="40"/>
      <c r="O989" s="40"/>
      <c r="P989" s="40"/>
      <c r="Q989" s="41"/>
      <c r="R989" s="41"/>
      <c r="S989" s="41"/>
      <c r="T989" s="21"/>
      <c r="U989" s="21"/>
      <c r="V989" s="42"/>
    </row>
    <row r="990">
      <c r="C990" s="9"/>
      <c r="K990" s="40"/>
      <c r="L990" s="9"/>
      <c r="M990" s="9"/>
      <c r="N990" s="40"/>
      <c r="O990" s="40"/>
      <c r="P990" s="40"/>
      <c r="Q990" s="41"/>
      <c r="R990" s="41"/>
      <c r="S990" s="41"/>
      <c r="T990" s="21"/>
      <c r="U990" s="21"/>
      <c r="V990" s="42"/>
    </row>
    <row r="991">
      <c r="C991" s="9"/>
      <c r="K991" s="40"/>
      <c r="L991" s="9"/>
      <c r="M991" s="9"/>
      <c r="N991" s="40"/>
      <c r="O991" s="40"/>
      <c r="P991" s="40"/>
      <c r="Q991" s="41"/>
      <c r="R991" s="41"/>
      <c r="S991" s="41"/>
      <c r="T991" s="21"/>
      <c r="U991" s="21"/>
      <c r="V991" s="42"/>
    </row>
    <row r="992">
      <c r="C992" s="9"/>
      <c r="K992" s="40"/>
      <c r="L992" s="9"/>
      <c r="M992" s="9"/>
      <c r="N992" s="40"/>
      <c r="O992" s="40"/>
      <c r="P992" s="40"/>
      <c r="Q992" s="41"/>
      <c r="R992" s="41"/>
      <c r="S992" s="41"/>
      <c r="T992" s="21"/>
      <c r="U992" s="21"/>
      <c r="V992" s="42"/>
    </row>
    <row r="993">
      <c r="C993" s="9"/>
      <c r="K993" s="40"/>
      <c r="L993" s="9"/>
      <c r="M993" s="9"/>
      <c r="N993" s="40"/>
      <c r="O993" s="40"/>
      <c r="P993" s="40"/>
      <c r="Q993" s="41"/>
      <c r="R993" s="41"/>
      <c r="S993" s="41"/>
      <c r="T993" s="21"/>
      <c r="U993" s="21"/>
      <c r="V993" s="42"/>
    </row>
    <row r="994">
      <c r="C994" s="9"/>
      <c r="K994" s="40"/>
      <c r="L994" s="9"/>
      <c r="M994" s="9"/>
      <c r="N994" s="40"/>
      <c r="O994" s="40"/>
      <c r="P994" s="40"/>
      <c r="Q994" s="41"/>
      <c r="R994" s="41"/>
      <c r="S994" s="41"/>
      <c r="T994" s="21"/>
      <c r="U994" s="21"/>
      <c r="V994" s="42"/>
    </row>
    <row r="995">
      <c r="C995" s="9"/>
      <c r="K995" s="40"/>
      <c r="L995" s="9"/>
      <c r="M995" s="9"/>
      <c r="N995" s="40"/>
      <c r="O995" s="40"/>
      <c r="P995" s="40"/>
      <c r="Q995" s="41"/>
      <c r="R995" s="41"/>
      <c r="S995" s="41"/>
      <c r="T995" s="21"/>
      <c r="U995" s="21"/>
      <c r="V995" s="42"/>
    </row>
    <row r="996">
      <c r="C996" s="9"/>
      <c r="K996" s="40"/>
      <c r="L996" s="9"/>
      <c r="M996" s="9"/>
      <c r="N996" s="40"/>
      <c r="O996" s="40"/>
      <c r="P996" s="40"/>
      <c r="Q996" s="41"/>
      <c r="R996" s="41"/>
      <c r="S996" s="41"/>
      <c r="T996" s="21"/>
      <c r="U996" s="21"/>
      <c r="V996" s="42"/>
    </row>
    <row r="997">
      <c r="C997" s="9"/>
      <c r="K997" s="40"/>
      <c r="L997" s="9"/>
      <c r="M997" s="9"/>
      <c r="N997" s="40"/>
      <c r="O997" s="40"/>
      <c r="P997" s="40"/>
      <c r="Q997" s="41"/>
      <c r="R997" s="41"/>
      <c r="S997" s="41"/>
      <c r="T997" s="21"/>
      <c r="U997" s="21"/>
      <c r="V997" s="42"/>
    </row>
    <row r="998">
      <c r="C998" s="9"/>
      <c r="K998" s="40"/>
      <c r="L998" s="9"/>
      <c r="M998" s="9"/>
      <c r="N998" s="40"/>
      <c r="O998" s="40"/>
      <c r="P998" s="40"/>
      <c r="Q998" s="41"/>
      <c r="R998" s="41"/>
      <c r="S998" s="41"/>
      <c r="T998" s="21"/>
      <c r="U998" s="21"/>
      <c r="V998" s="42"/>
    </row>
    <row r="999">
      <c r="C999" s="9"/>
      <c r="K999" s="40"/>
      <c r="L999" s="9"/>
      <c r="M999" s="9"/>
      <c r="N999" s="40"/>
      <c r="O999" s="40"/>
      <c r="P999" s="40"/>
      <c r="Q999" s="41"/>
      <c r="R999" s="41"/>
      <c r="S999" s="41"/>
      <c r="T999" s="21"/>
      <c r="U999" s="21"/>
      <c r="V999" s="42"/>
    </row>
    <row r="1000">
      <c r="C1000" s="9"/>
      <c r="K1000" s="40"/>
      <c r="L1000" s="9"/>
      <c r="M1000" s="9"/>
      <c r="N1000" s="40"/>
      <c r="O1000" s="40"/>
      <c r="P1000" s="40"/>
      <c r="Q1000" s="41"/>
      <c r="R1000" s="41"/>
      <c r="S1000" s="41"/>
      <c r="T1000" s="21"/>
      <c r="U1000" s="21"/>
      <c r="V1000" s="42"/>
    </row>
  </sheetData>
  <autoFilter ref="$A$1:$P$1000"/>
  <conditionalFormatting sqref="G1:G1000 Q1:S1">
    <cfRule type="cellIs" dxfId="0" priority="1" operator="equal">
      <formula>0</formula>
    </cfRule>
  </conditionalFormatting>
  <conditionalFormatting sqref="H1:H1000">
    <cfRule type="cellIs" dxfId="1" priority="2" operator="lessThan">
      <formula>"100%"</formula>
    </cfRule>
  </conditionalFormatting>
  <dataValidations>
    <dataValidation type="list" allowBlank="1" showErrorMessage="1" sqref="I2:J225">
      <formula1>Juizes!$A$1:$A$35</formula1>
    </dataValidation>
  </dataValidations>
  <hyperlinks>
    <hyperlink r:id="rId1" ref="B1"/>
    <hyperlink r:id="rId2" ref="I2"/>
    <hyperlink r:id="rId3" ref="J2"/>
    <hyperlink r:id="rId4" ref="I3"/>
    <hyperlink r:id="rId5" ref="J3"/>
    <hyperlink r:id="rId6" ref="I4"/>
    <hyperlink r:id="rId7" ref="J4"/>
    <hyperlink r:id="rId8" ref="I5"/>
    <hyperlink r:id="rId9" ref="J5"/>
    <hyperlink r:id="rId10" ref="I6"/>
    <hyperlink r:id="rId11" ref="J6"/>
    <hyperlink r:id="rId12" ref="I7"/>
    <hyperlink r:id="rId13" ref="J7"/>
    <hyperlink r:id="rId14" ref="I8"/>
    <hyperlink r:id="rId15" ref="J8"/>
    <hyperlink r:id="rId16" ref="I9"/>
    <hyperlink r:id="rId17" ref="J9"/>
    <hyperlink r:id="rId18" ref="I10"/>
    <hyperlink r:id="rId19" ref="J10"/>
    <hyperlink r:id="rId20" ref="I11"/>
    <hyperlink r:id="rId21" ref="J11"/>
    <hyperlink r:id="rId22" ref="I12"/>
    <hyperlink r:id="rId23" ref="J12"/>
    <hyperlink r:id="rId24" ref="I13"/>
    <hyperlink r:id="rId25" ref="J13"/>
    <hyperlink r:id="rId26" ref="I14"/>
    <hyperlink r:id="rId27" ref="J14"/>
    <hyperlink r:id="rId28" ref="I15"/>
    <hyperlink r:id="rId29" ref="J15"/>
    <hyperlink r:id="rId30" ref="I16"/>
    <hyperlink r:id="rId31" ref="J16"/>
    <hyperlink r:id="rId32" ref="I17"/>
    <hyperlink r:id="rId33" ref="J17"/>
    <hyperlink r:id="rId34" ref="I18"/>
    <hyperlink r:id="rId35" ref="J18"/>
    <hyperlink r:id="rId36" ref="I19"/>
    <hyperlink r:id="rId37" ref="J19"/>
    <hyperlink r:id="rId38" ref="I20"/>
    <hyperlink r:id="rId39" ref="J20"/>
    <hyperlink r:id="rId40" ref="I21"/>
    <hyperlink r:id="rId41" ref="J21"/>
    <hyperlink r:id="rId42" ref="I22"/>
    <hyperlink r:id="rId43" ref="J22"/>
    <hyperlink r:id="rId44" ref="I23"/>
    <hyperlink r:id="rId45" ref="J23"/>
    <hyperlink r:id="rId46" ref="I24"/>
    <hyperlink r:id="rId47" ref="J24"/>
    <hyperlink r:id="rId48" ref="I25"/>
    <hyperlink r:id="rId49" ref="J25"/>
    <hyperlink r:id="rId50" ref="I26"/>
    <hyperlink r:id="rId51" ref="J26"/>
    <hyperlink r:id="rId52" ref="I27"/>
    <hyperlink r:id="rId53" ref="J27"/>
    <hyperlink r:id="rId54" ref="I28"/>
    <hyperlink r:id="rId55" ref="J28"/>
    <hyperlink r:id="rId56" ref="I29"/>
    <hyperlink r:id="rId57" ref="J29"/>
    <hyperlink r:id="rId58" ref="I30"/>
    <hyperlink r:id="rId59" ref="J30"/>
    <hyperlink r:id="rId60" ref="I31"/>
    <hyperlink r:id="rId61" ref="J31"/>
    <hyperlink r:id="rId62" ref="I32"/>
    <hyperlink r:id="rId63" ref="J32"/>
    <hyperlink r:id="rId64" ref="I33"/>
    <hyperlink r:id="rId65" ref="J33"/>
    <hyperlink r:id="rId66" ref="I34"/>
    <hyperlink r:id="rId67" ref="J34"/>
    <hyperlink r:id="rId68" ref="I35"/>
    <hyperlink r:id="rId69" ref="J35"/>
    <hyperlink r:id="rId70" ref="I36"/>
    <hyperlink r:id="rId71" ref="J36"/>
    <hyperlink r:id="rId72" ref="I37"/>
    <hyperlink r:id="rId73" ref="J37"/>
    <hyperlink r:id="rId74" ref="I38"/>
    <hyperlink r:id="rId75" ref="J38"/>
    <hyperlink r:id="rId76" ref="I39"/>
    <hyperlink r:id="rId77" ref="J39"/>
    <hyperlink r:id="rId78" ref="I40"/>
    <hyperlink r:id="rId79" ref="J40"/>
    <hyperlink r:id="rId80" ref="I41"/>
    <hyperlink r:id="rId81" ref="J41"/>
    <hyperlink r:id="rId82" ref="I42"/>
    <hyperlink r:id="rId83" ref="J42"/>
    <hyperlink r:id="rId84" ref="I43"/>
    <hyperlink r:id="rId85" ref="J43"/>
    <hyperlink r:id="rId86" ref="I44"/>
    <hyperlink r:id="rId87" ref="J44"/>
    <hyperlink r:id="rId88" ref="I45"/>
    <hyperlink r:id="rId89" ref="J45"/>
    <hyperlink r:id="rId90" ref="I46"/>
    <hyperlink r:id="rId91" ref="J46"/>
    <hyperlink r:id="rId92" ref="I47"/>
    <hyperlink r:id="rId93" ref="J47"/>
    <hyperlink r:id="rId94" ref="I48"/>
    <hyperlink r:id="rId95" ref="J48"/>
    <hyperlink r:id="rId96" ref="I49"/>
    <hyperlink r:id="rId97" ref="J49"/>
    <hyperlink r:id="rId98" ref="I50"/>
    <hyperlink r:id="rId99" ref="J50"/>
    <hyperlink r:id="rId100" ref="I51"/>
    <hyperlink r:id="rId101" ref="J51"/>
    <hyperlink r:id="rId102" ref="I52"/>
    <hyperlink r:id="rId103" ref="J52"/>
    <hyperlink r:id="rId104" ref="I53"/>
    <hyperlink r:id="rId105" ref="J53"/>
    <hyperlink r:id="rId106" ref="I54"/>
    <hyperlink r:id="rId107" ref="J54"/>
    <hyperlink r:id="rId108" ref="I55"/>
    <hyperlink r:id="rId109" ref="J55"/>
    <hyperlink r:id="rId110" ref="I56"/>
    <hyperlink r:id="rId111" ref="J56"/>
    <hyperlink r:id="rId112" ref="I57"/>
    <hyperlink r:id="rId113" ref="J57"/>
    <hyperlink r:id="rId114" ref="I58"/>
    <hyperlink r:id="rId115" ref="J58"/>
    <hyperlink r:id="rId116" ref="A59"/>
    <hyperlink r:id="rId117" ref="I59"/>
    <hyperlink r:id="rId118" ref="J59"/>
    <hyperlink r:id="rId119" ref="I60"/>
    <hyperlink r:id="rId120" ref="J60"/>
    <hyperlink r:id="rId121" ref="I61"/>
    <hyperlink r:id="rId122" ref="J61"/>
    <hyperlink r:id="rId123" ref="I62"/>
    <hyperlink r:id="rId124" ref="J62"/>
    <hyperlink r:id="rId125" ref="I63"/>
    <hyperlink r:id="rId126" ref="J63"/>
    <hyperlink r:id="rId127" ref="I64"/>
    <hyperlink r:id="rId128" ref="J64"/>
    <hyperlink r:id="rId129" ref="I65"/>
    <hyperlink r:id="rId130" ref="J65"/>
    <hyperlink r:id="rId131" ref="I66"/>
    <hyperlink r:id="rId132" ref="J66"/>
    <hyperlink r:id="rId133" ref="B67"/>
    <hyperlink r:id="rId134" ref="I67"/>
    <hyperlink r:id="rId135" ref="J67"/>
    <hyperlink r:id="rId136" ref="I68"/>
    <hyperlink r:id="rId137" ref="J68"/>
    <hyperlink r:id="rId138" ref="I69"/>
    <hyperlink r:id="rId139" ref="J69"/>
    <hyperlink r:id="rId140" ref="I70"/>
    <hyperlink r:id="rId141" ref="J70"/>
    <hyperlink r:id="rId142" ref="I71"/>
    <hyperlink r:id="rId143" ref="J71"/>
    <hyperlink r:id="rId144" ref="I72"/>
    <hyperlink r:id="rId145" ref="J72"/>
    <hyperlink r:id="rId146" ref="I73"/>
    <hyperlink r:id="rId147" ref="J73"/>
    <hyperlink r:id="rId148" ref="I74"/>
    <hyperlink r:id="rId149" ref="J74"/>
    <hyperlink r:id="rId150" ref="I75"/>
    <hyperlink r:id="rId151" ref="J75"/>
    <hyperlink r:id="rId152" ref="I76"/>
    <hyperlink r:id="rId153" ref="J76"/>
    <hyperlink r:id="rId154" ref="I77"/>
    <hyperlink r:id="rId155" ref="J77"/>
    <hyperlink r:id="rId156" ref="I78"/>
    <hyperlink r:id="rId157" ref="J78"/>
    <hyperlink r:id="rId158" ref="I79"/>
    <hyperlink r:id="rId159" ref="J79"/>
    <hyperlink r:id="rId160" ref="I80"/>
    <hyperlink r:id="rId161" ref="J80"/>
    <hyperlink r:id="rId162" ref="I81"/>
    <hyperlink r:id="rId163" ref="J81"/>
    <hyperlink r:id="rId164" ref="I82"/>
    <hyperlink r:id="rId165" ref="J82"/>
    <hyperlink r:id="rId166" ref="I83"/>
    <hyperlink r:id="rId167" ref="J83"/>
    <hyperlink r:id="rId168" ref="I84"/>
    <hyperlink r:id="rId169" ref="J84"/>
    <hyperlink r:id="rId170" ref="I85"/>
    <hyperlink r:id="rId171" ref="J85"/>
    <hyperlink r:id="rId172" ref="B86"/>
    <hyperlink r:id="rId173" ref="I86"/>
    <hyperlink r:id="rId174" ref="J86"/>
    <hyperlink r:id="rId175" ref="I87"/>
    <hyperlink r:id="rId176" ref="J87"/>
    <hyperlink r:id="rId177" ref="I88"/>
    <hyperlink r:id="rId178" ref="J88"/>
    <hyperlink r:id="rId179" ref="I89"/>
    <hyperlink r:id="rId180" ref="J89"/>
    <hyperlink r:id="rId181" ref="I90"/>
    <hyperlink r:id="rId182" ref="J90"/>
    <hyperlink r:id="rId183" ref="I91"/>
    <hyperlink r:id="rId184" ref="J91"/>
    <hyperlink r:id="rId185" ref="I92"/>
    <hyperlink r:id="rId186" ref="J92"/>
    <hyperlink r:id="rId187" ref="I93"/>
    <hyperlink r:id="rId188" ref="J93"/>
    <hyperlink r:id="rId189" ref="I94"/>
    <hyperlink r:id="rId190" ref="J94"/>
    <hyperlink r:id="rId191" ref="I95"/>
    <hyperlink r:id="rId192" ref="J95"/>
    <hyperlink r:id="rId193" ref="I96"/>
    <hyperlink r:id="rId194" ref="J96"/>
    <hyperlink r:id="rId195" ref="I97"/>
    <hyperlink r:id="rId196" ref="J97"/>
    <hyperlink r:id="rId197" ref="I98"/>
    <hyperlink r:id="rId198" ref="J98"/>
    <hyperlink r:id="rId199" ref="I99"/>
    <hyperlink r:id="rId200" ref="J99"/>
    <hyperlink r:id="rId201" ref="I100"/>
    <hyperlink r:id="rId202" ref="J100"/>
    <hyperlink r:id="rId203" ref="I101"/>
    <hyperlink r:id="rId204" ref="J101"/>
    <hyperlink r:id="rId205" ref="I102"/>
    <hyperlink r:id="rId206" ref="J102"/>
    <hyperlink r:id="rId207" ref="I103"/>
    <hyperlink r:id="rId208" ref="J103"/>
    <hyperlink r:id="rId209" ref="I104"/>
    <hyperlink r:id="rId210" ref="J104"/>
    <hyperlink r:id="rId211" ref="I105"/>
    <hyperlink r:id="rId212" ref="J105"/>
    <hyperlink r:id="rId213" ref="I106"/>
    <hyperlink r:id="rId214" ref="J106"/>
    <hyperlink r:id="rId215" ref="I107"/>
    <hyperlink r:id="rId216" ref="J107"/>
    <hyperlink r:id="rId217" ref="I108"/>
    <hyperlink r:id="rId218" ref="J108"/>
    <hyperlink r:id="rId219" ref="I109"/>
    <hyperlink r:id="rId220" ref="J109"/>
    <hyperlink r:id="rId221" ref="I110"/>
    <hyperlink r:id="rId222" ref="J110"/>
    <hyperlink r:id="rId223" ref="I111"/>
    <hyperlink r:id="rId224" ref="J111"/>
    <hyperlink r:id="rId225" ref="I112"/>
    <hyperlink r:id="rId226" ref="J112"/>
    <hyperlink r:id="rId227" ref="I113"/>
    <hyperlink r:id="rId228" ref="J113"/>
    <hyperlink r:id="rId229" ref="I114"/>
    <hyperlink r:id="rId230" ref="J114"/>
    <hyperlink r:id="rId231" ref="I115"/>
    <hyperlink r:id="rId232" ref="J115"/>
    <hyperlink r:id="rId233" ref="I116"/>
    <hyperlink r:id="rId234" ref="J116"/>
    <hyperlink r:id="rId235" ref="I117"/>
    <hyperlink r:id="rId236" ref="J117"/>
    <hyperlink r:id="rId237" ref="I118"/>
    <hyperlink r:id="rId238" ref="J118"/>
    <hyperlink r:id="rId239" ref="I119"/>
    <hyperlink r:id="rId240" ref="J119"/>
    <hyperlink r:id="rId241" ref="I120"/>
    <hyperlink r:id="rId242" ref="J120"/>
    <hyperlink r:id="rId243" ref="I121"/>
    <hyperlink r:id="rId244" ref="J121"/>
    <hyperlink r:id="rId245" ref="I122"/>
    <hyperlink r:id="rId246" ref="J122"/>
    <hyperlink r:id="rId247" ref="I123"/>
    <hyperlink r:id="rId248" ref="J123"/>
    <hyperlink r:id="rId249" ref="I124"/>
    <hyperlink r:id="rId250" ref="J124"/>
    <hyperlink r:id="rId251" ref="I125"/>
    <hyperlink r:id="rId252" ref="J125"/>
    <hyperlink r:id="rId253" ref="I126"/>
    <hyperlink r:id="rId254" ref="J126"/>
    <hyperlink r:id="rId255" ref="I127"/>
    <hyperlink r:id="rId256" ref="J127"/>
    <hyperlink r:id="rId257" ref="I128"/>
    <hyperlink r:id="rId258" ref="J128"/>
    <hyperlink r:id="rId259" ref="I129"/>
    <hyperlink r:id="rId260" ref="J129"/>
    <hyperlink r:id="rId261" ref="I130"/>
    <hyperlink r:id="rId262" ref="J130"/>
    <hyperlink r:id="rId263" ref="I131"/>
    <hyperlink r:id="rId264" ref="J131"/>
    <hyperlink r:id="rId265" ref="I132"/>
    <hyperlink r:id="rId266" ref="J132"/>
    <hyperlink r:id="rId267" ref="I133"/>
    <hyperlink r:id="rId268" ref="J133"/>
    <hyperlink r:id="rId269" ref="I134"/>
    <hyperlink r:id="rId270" ref="J134"/>
    <hyperlink r:id="rId271" ref="I135"/>
    <hyperlink r:id="rId272" ref="J135"/>
    <hyperlink r:id="rId273" ref="I136"/>
    <hyperlink r:id="rId274" ref="J136"/>
    <hyperlink r:id="rId275" ref="I137"/>
    <hyperlink r:id="rId276" ref="J137"/>
    <hyperlink r:id="rId277" ref="I138"/>
    <hyperlink r:id="rId278" ref="J138"/>
    <hyperlink r:id="rId279" ref="I139"/>
    <hyperlink r:id="rId280" ref="J139"/>
    <hyperlink r:id="rId281" ref="I140"/>
    <hyperlink r:id="rId282" ref="J140"/>
    <hyperlink r:id="rId283" ref="I141"/>
    <hyperlink r:id="rId284" ref="J141"/>
    <hyperlink r:id="rId285" ref="I142"/>
    <hyperlink r:id="rId286" ref="J142"/>
    <hyperlink r:id="rId287" ref="I143"/>
    <hyperlink r:id="rId288" ref="J143"/>
    <hyperlink r:id="rId289" ref="I144"/>
    <hyperlink r:id="rId290" ref="J144"/>
    <hyperlink r:id="rId291" ref="I145"/>
    <hyperlink r:id="rId292" ref="J145"/>
    <hyperlink r:id="rId293" ref="I146"/>
    <hyperlink r:id="rId294" ref="J146"/>
    <hyperlink r:id="rId295" ref="I147"/>
    <hyperlink r:id="rId296" ref="J147"/>
    <hyperlink r:id="rId297" ref="I148"/>
    <hyperlink r:id="rId298" ref="J148"/>
    <hyperlink r:id="rId299" ref="I149"/>
    <hyperlink r:id="rId300" ref="J149"/>
    <hyperlink r:id="rId301" ref="I150"/>
    <hyperlink r:id="rId302" ref="J150"/>
    <hyperlink r:id="rId303" ref="I151"/>
    <hyperlink r:id="rId304" ref="J151"/>
    <hyperlink r:id="rId305" ref="I152"/>
    <hyperlink r:id="rId306" ref="J152"/>
    <hyperlink r:id="rId307" ref="I153"/>
    <hyperlink r:id="rId308" ref="J153"/>
    <hyperlink r:id="rId309" ref="I154"/>
    <hyperlink r:id="rId310" ref="J154"/>
    <hyperlink r:id="rId311" ref="I155"/>
    <hyperlink r:id="rId312" ref="J155"/>
    <hyperlink r:id="rId313" ref="I156"/>
    <hyperlink r:id="rId314" ref="J156"/>
    <hyperlink r:id="rId315" ref="I157"/>
    <hyperlink r:id="rId316" ref="J157"/>
    <hyperlink r:id="rId317" ref="I158"/>
    <hyperlink r:id="rId318" ref="J158"/>
    <hyperlink r:id="rId319" ref="I159"/>
    <hyperlink r:id="rId320" ref="J159"/>
    <hyperlink r:id="rId321" ref="I160"/>
    <hyperlink r:id="rId322" ref="J160"/>
    <hyperlink r:id="rId323" ref="I161"/>
    <hyperlink r:id="rId324" ref="J161"/>
    <hyperlink r:id="rId325" ref="I162"/>
    <hyperlink r:id="rId326" ref="J162"/>
    <hyperlink r:id="rId327" ref="I163"/>
    <hyperlink r:id="rId328" ref="J163"/>
    <hyperlink r:id="rId329" ref="I164"/>
    <hyperlink r:id="rId330" ref="J164"/>
    <hyperlink r:id="rId331" ref="I165"/>
    <hyperlink r:id="rId332" ref="J165"/>
    <hyperlink r:id="rId333" ref="I166"/>
    <hyperlink r:id="rId334" ref="J166"/>
    <hyperlink r:id="rId335" ref="I167"/>
    <hyperlink r:id="rId336" ref="J167"/>
    <hyperlink r:id="rId337" ref="I168"/>
    <hyperlink r:id="rId338" ref="J168"/>
    <hyperlink r:id="rId339" ref="I169"/>
    <hyperlink r:id="rId340" ref="J169"/>
    <hyperlink r:id="rId341" ref="I170"/>
    <hyperlink r:id="rId342" ref="J170"/>
    <hyperlink r:id="rId343" ref="I171"/>
    <hyperlink r:id="rId344" ref="J171"/>
    <hyperlink r:id="rId345" ref="I172"/>
    <hyperlink r:id="rId346" ref="J172"/>
    <hyperlink r:id="rId347" ref="I173"/>
    <hyperlink r:id="rId348" ref="J173"/>
    <hyperlink r:id="rId349" ref="I174"/>
    <hyperlink r:id="rId350" ref="J174"/>
    <hyperlink r:id="rId351" ref="I175"/>
    <hyperlink r:id="rId352" ref="J175"/>
    <hyperlink r:id="rId353" ref="I176"/>
    <hyperlink r:id="rId354" ref="J176"/>
    <hyperlink r:id="rId355" ref="I177"/>
    <hyperlink r:id="rId356" ref="J177"/>
    <hyperlink r:id="rId357" ref="I178"/>
    <hyperlink r:id="rId358" ref="J178"/>
    <hyperlink r:id="rId359" ref="I179"/>
    <hyperlink r:id="rId360" ref="J179"/>
    <hyperlink r:id="rId361" ref="I180"/>
    <hyperlink r:id="rId362" ref="J180"/>
    <hyperlink r:id="rId363" ref="I181"/>
    <hyperlink r:id="rId364" ref="J181"/>
    <hyperlink r:id="rId365" ref="I182"/>
    <hyperlink r:id="rId366" ref="J182"/>
    <hyperlink r:id="rId367" ref="I183"/>
    <hyperlink r:id="rId368" ref="J183"/>
    <hyperlink r:id="rId369" ref="I184"/>
    <hyperlink r:id="rId370" ref="J184"/>
    <hyperlink r:id="rId371" ref="I185"/>
    <hyperlink r:id="rId372" ref="J185"/>
    <hyperlink r:id="rId373" ref="I186"/>
    <hyperlink r:id="rId374" ref="J186"/>
    <hyperlink r:id="rId375" ref="I187"/>
    <hyperlink r:id="rId376" ref="J187"/>
    <hyperlink r:id="rId377" ref="I188"/>
    <hyperlink r:id="rId378" ref="J188"/>
    <hyperlink r:id="rId379" ref="I189"/>
    <hyperlink r:id="rId380" ref="J189"/>
    <hyperlink r:id="rId381" ref="I190"/>
    <hyperlink r:id="rId382" ref="J190"/>
    <hyperlink r:id="rId383" ref="I191"/>
    <hyperlink r:id="rId384" ref="J191"/>
    <hyperlink r:id="rId385" ref="I192"/>
    <hyperlink r:id="rId386" ref="J192"/>
    <hyperlink r:id="rId387" ref="I193"/>
    <hyperlink r:id="rId388" ref="J193"/>
    <hyperlink r:id="rId389" ref="I194"/>
    <hyperlink r:id="rId390" ref="J194"/>
    <hyperlink r:id="rId391" ref="I195"/>
    <hyperlink r:id="rId392" ref="J195"/>
    <hyperlink r:id="rId393" ref="I196"/>
    <hyperlink r:id="rId394" ref="J196"/>
    <hyperlink r:id="rId395" ref="I197"/>
    <hyperlink r:id="rId396" ref="J197"/>
    <hyperlink r:id="rId397" ref="I198"/>
    <hyperlink r:id="rId398" ref="J198"/>
    <hyperlink r:id="rId399" ref="I199"/>
    <hyperlink r:id="rId400" ref="J199"/>
    <hyperlink r:id="rId401" ref="I200"/>
    <hyperlink r:id="rId402" ref="J200"/>
    <hyperlink r:id="rId403" ref="I201"/>
    <hyperlink r:id="rId404" ref="J201"/>
    <hyperlink r:id="rId405" ref="I202"/>
    <hyperlink r:id="rId406" ref="J202"/>
    <hyperlink r:id="rId407" ref="I203"/>
    <hyperlink r:id="rId408" ref="J203"/>
    <hyperlink r:id="rId409" ref="I204"/>
    <hyperlink r:id="rId410" ref="J204"/>
    <hyperlink r:id="rId411" ref="I205"/>
    <hyperlink r:id="rId412" ref="J205"/>
    <hyperlink r:id="rId413" ref="I206"/>
    <hyperlink r:id="rId414" ref="J206"/>
    <hyperlink r:id="rId415" ref="I207"/>
    <hyperlink r:id="rId416" ref="J207"/>
    <hyperlink r:id="rId417" ref="I208"/>
    <hyperlink r:id="rId418" ref="J208"/>
    <hyperlink r:id="rId419" ref="I209"/>
    <hyperlink r:id="rId420" ref="J209"/>
    <hyperlink r:id="rId421" ref="I210"/>
    <hyperlink r:id="rId422" ref="J210"/>
    <hyperlink r:id="rId423" ref="I211"/>
    <hyperlink r:id="rId424" ref="J211"/>
    <hyperlink r:id="rId425" ref="I212"/>
    <hyperlink r:id="rId426" ref="J212"/>
    <hyperlink r:id="rId427" ref="I213"/>
    <hyperlink r:id="rId428" ref="J213"/>
    <hyperlink r:id="rId429" ref="I214"/>
    <hyperlink r:id="rId430" ref="J214"/>
    <hyperlink r:id="rId431" ref="I215"/>
    <hyperlink r:id="rId432" ref="J215"/>
    <hyperlink r:id="rId433" ref="I216"/>
    <hyperlink r:id="rId434" ref="J216"/>
    <hyperlink r:id="rId435" ref="I217"/>
    <hyperlink r:id="rId436" ref="J217"/>
    <hyperlink r:id="rId437" ref="I218"/>
    <hyperlink r:id="rId438" ref="J218"/>
    <hyperlink r:id="rId439" ref="I219"/>
    <hyperlink r:id="rId440" ref="J219"/>
    <hyperlink r:id="rId441" ref="I220"/>
    <hyperlink r:id="rId442" ref="J220"/>
    <hyperlink r:id="rId443" ref="I221"/>
    <hyperlink r:id="rId444" ref="J221"/>
    <hyperlink r:id="rId445" ref="I222"/>
    <hyperlink r:id="rId446" ref="J222"/>
    <hyperlink r:id="rId447" ref="I223"/>
    <hyperlink r:id="rId448" ref="J223"/>
    <hyperlink r:id="rId449" ref="I224"/>
    <hyperlink r:id="rId450" ref="J224"/>
    <hyperlink r:id="rId451" ref="I225"/>
    <hyperlink r:id="rId452" ref="J225"/>
  </hyperlinks>
  <printOptions gridLines="1" horizontalCentered="1"/>
  <pageMargins bottom="0.75" footer="0.0" header="0.0" left="0.7" right="0.7" top="0.75"/>
  <pageSetup fitToHeight="0" paperSize="9" cellComments="atEnd" orientation="landscape" pageOrder="overThenDown"/>
  <drawing r:id="rId45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88"/>
    <col customWidth="1" min="2" max="2" width="27.13"/>
  </cols>
  <sheetData>
    <row r="1">
      <c r="A1" s="43" t="s">
        <v>720</v>
      </c>
      <c r="B1" s="44"/>
      <c r="C1" s="45"/>
      <c r="D1" s="46" t="s">
        <v>21</v>
      </c>
    </row>
    <row r="2">
      <c r="A2" s="47" t="s">
        <v>721</v>
      </c>
      <c r="B2" s="48" t="s">
        <v>722</v>
      </c>
      <c r="C2" s="48" t="s">
        <v>723</v>
      </c>
      <c r="D2" s="49">
        <f>IF(B2="PARCIALMENTE CUMPRIDO",C2,IF(B2="NÃO CUMPRIDO",0,VLOOKUP(A2,BD!T:U,2,)))</f>
        <v>20</v>
      </c>
    </row>
    <row r="3">
      <c r="A3" s="50" t="s">
        <v>724</v>
      </c>
      <c r="B3" s="51" t="s">
        <v>725</v>
      </c>
      <c r="C3" s="51" t="s">
        <v>723</v>
      </c>
      <c r="D3" s="49">
        <f>IF(B3="PARCIALMENTE CUMPRIDO",C3,IF(B3="NÃO CUMPRIDO",0,VLOOKUP(A3,BD!T:U,2,)))</f>
        <v>0</v>
      </c>
    </row>
    <row r="4">
      <c r="A4" s="52" t="s">
        <v>726</v>
      </c>
      <c r="B4" s="53" t="s">
        <v>727</v>
      </c>
      <c r="C4" s="54">
        <v>35.0</v>
      </c>
      <c r="D4" s="55">
        <f>IF(B4="PARCIALMENTE CUMPRIDO",C4,IF(B4="NÃO CUMPRIDO",0,VLOOKUP(A4,BD!T:U,2,)))</f>
        <v>35</v>
      </c>
    </row>
    <row r="5">
      <c r="A5" s="24"/>
      <c r="B5" s="24"/>
      <c r="C5" s="24"/>
      <c r="D5" s="41"/>
    </row>
    <row r="6">
      <c r="A6" s="24"/>
      <c r="B6" s="24"/>
      <c r="C6" s="24"/>
      <c r="D6" s="41"/>
    </row>
    <row r="7">
      <c r="A7" s="24"/>
      <c r="B7" s="24"/>
      <c r="C7" s="24"/>
      <c r="D7" s="41"/>
    </row>
    <row r="8">
      <c r="A8" s="24"/>
      <c r="B8" s="24"/>
      <c r="C8" s="24"/>
      <c r="D8" s="41"/>
    </row>
    <row r="9">
      <c r="A9" s="24"/>
      <c r="B9" s="24"/>
      <c r="C9" s="24"/>
      <c r="D9" s="41"/>
    </row>
    <row r="10">
      <c r="A10" s="24"/>
      <c r="B10" s="24"/>
      <c r="C10" s="24"/>
      <c r="D10" s="41"/>
    </row>
    <row r="11">
      <c r="A11" s="24"/>
      <c r="B11" s="24"/>
      <c r="C11" s="24"/>
      <c r="D11" s="41"/>
    </row>
    <row r="12">
      <c r="A12" s="24"/>
      <c r="B12" s="24"/>
      <c r="C12" s="24"/>
      <c r="D12" s="41"/>
    </row>
    <row r="13">
      <c r="A13" s="24"/>
      <c r="B13" s="24"/>
      <c r="C13" s="24"/>
      <c r="D13" s="41"/>
    </row>
    <row r="14">
      <c r="A14" s="24"/>
      <c r="B14" s="24"/>
      <c r="C14" s="24"/>
      <c r="D14" s="41"/>
    </row>
    <row r="15">
      <c r="A15" s="24"/>
      <c r="B15" s="24"/>
      <c r="C15" s="24"/>
      <c r="D15" s="41"/>
    </row>
    <row r="16">
      <c r="A16" s="24"/>
      <c r="B16" s="24"/>
      <c r="C16" s="24"/>
      <c r="D16" s="41"/>
    </row>
    <row r="17">
      <c r="A17" s="24"/>
      <c r="B17" s="24"/>
      <c r="C17" s="24"/>
      <c r="D17" s="41"/>
    </row>
    <row r="18">
      <c r="A18" s="24"/>
      <c r="B18" s="24"/>
      <c r="C18" s="24"/>
      <c r="D18" s="41"/>
    </row>
    <row r="19">
      <c r="A19" s="24"/>
      <c r="B19" s="24"/>
      <c r="C19" s="24"/>
      <c r="D19" s="41"/>
    </row>
    <row r="20">
      <c r="A20" s="24"/>
      <c r="B20" s="24"/>
      <c r="C20" s="24"/>
      <c r="D20" s="41"/>
    </row>
    <row r="21">
      <c r="A21" s="24"/>
      <c r="B21" s="24"/>
      <c r="C21" s="24"/>
      <c r="D21" s="41"/>
    </row>
    <row r="22">
      <c r="A22" s="24"/>
      <c r="B22" s="24"/>
      <c r="C22" s="24"/>
      <c r="D22" s="41"/>
    </row>
    <row r="23">
      <c r="A23" s="24"/>
      <c r="B23" s="24"/>
      <c r="C23" s="24"/>
      <c r="D23" s="41"/>
    </row>
    <row r="24">
      <c r="A24" s="24"/>
      <c r="B24" s="24"/>
      <c r="C24" s="24"/>
      <c r="D24" s="41"/>
    </row>
    <row r="25">
      <c r="A25" s="24"/>
      <c r="B25" s="24"/>
      <c r="C25" s="24"/>
      <c r="D25" s="41"/>
    </row>
    <row r="26">
      <c r="A26" s="24"/>
      <c r="B26" s="24"/>
      <c r="C26" s="24"/>
      <c r="D26" s="41"/>
    </row>
    <row r="27">
      <c r="A27" s="24"/>
      <c r="B27" s="24"/>
      <c r="C27" s="24"/>
      <c r="D27" s="41"/>
    </row>
    <row r="28">
      <c r="A28" s="24"/>
      <c r="B28" s="24"/>
      <c r="C28" s="24"/>
      <c r="D28" s="41"/>
    </row>
    <row r="29">
      <c r="A29" s="24"/>
      <c r="B29" s="24"/>
      <c r="C29" s="24"/>
      <c r="D29" s="41"/>
    </row>
    <row r="30">
      <c r="A30" s="24"/>
      <c r="B30" s="24"/>
      <c r="C30" s="24"/>
      <c r="D30" s="41"/>
    </row>
    <row r="31">
      <c r="A31" s="24"/>
      <c r="B31" s="24"/>
      <c r="C31" s="24"/>
      <c r="D31" s="41"/>
    </row>
    <row r="32">
      <c r="A32" s="24"/>
      <c r="B32" s="24"/>
      <c r="C32" s="24"/>
      <c r="D32" s="41"/>
    </row>
    <row r="33">
      <c r="A33" s="24"/>
      <c r="B33" s="24"/>
      <c r="C33" s="24"/>
      <c r="D33" s="41"/>
    </row>
    <row r="34">
      <c r="A34" s="24"/>
      <c r="B34" s="24"/>
      <c r="C34" s="24"/>
      <c r="D34" s="41"/>
    </row>
    <row r="35">
      <c r="A35" s="24"/>
      <c r="B35" s="24"/>
      <c r="C35" s="24"/>
      <c r="D35" s="41"/>
    </row>
    <row r="36">
      <c r="A36" s="24"/>
      <c r="B36" s="24"/>
      <c r="C36" s="24"/>
      <c r="D36" s="41"/>
    </row>
    <row r="37">
      <c r="A37" s="24"/>
      <c r="B37" s="24"/>
      <c r="C37" s="24"/>
      <c r="D37" s="41"/>
    </row>
    <row r="38">
      <c r="A38" s="24"/>
      <c r="B38" s="24"/>
      <c r="C38" s="24"/>
      <c r="D38" s="41"/>
    </row>
    <row r="39">
      <c r="A39" s="24"/>
      <c r="B39" s="24"/>
      <c r="C39" s="24"/>
      <c r="D39" s="41"/>
    </row>
    <row r="40">
      <c r="A40" s="24"/>
      <c r="B40" s="24"/>
      <c r="C40" s="24"/>
      <c r="D40" s="41"/>
    </row>
    <row r="41">
      <c r="A41" s="24"/>
      <c r="B41" s="24"/>
      <c r="C41" s="24"/>
      <c r="D41" s="41"/>
    </row>
    <row r="42">
      <c r="A42" s="24"/>
      <c r="B42" s="24"/>
      <c r="C42" s="24"/>
      <c r="D42" s="41"/>
    </row>
    <row r="43">
      <c r="A43" s="24"/>
      <c r="B43" s="24"/>
      <c r="C43" s="24"/>
      <c r="D43" s="41"/>
    </row>
    <row r="44">
      <c r="A44" s="24"/>
      <c r="B44" s="24"/>
      <c r="C44" s="24"/>
      <c r="D44" s="41"/>
    </row>
    <row r="45">
      <c r="A45" s="24"/>
      <c r="B45" s="24"/>
      <c r="C45" s="24"/>
      <c r="D45" s="41"/>
    </row>
    <row r="46">
      <c r="A46" s="24"/>
      <c r="B46" s="24"/>
      <c r="C46" s="24"/>
      <c r="D46" s="41"/>
    </row>
    <row r="47">
      <c r="A47" s="24"/>
      <c r="B47" s="24"/>
      <c r="C47" s="24"/>
      <c r="D47" s="41"/>
    </row>
    <row r="48">
      <c r="A48" s="24"/>
      <c r="B48" s="24"/>
      <c r="C48" s="24"/>
      <c r="D48" s="41"/>
    </row>
    <row r="49">
      <c r="A49" s="24"/>
      <c r="B49" s="24"/>
      <c r="C49" s="24"/>
      <c r="D49" s="41"/>
    </row>
    <row r="50">
      <c r="A50" s="24"/>
      <c r="B50" s="24"/>
      <c r="C50" s="24"/>
      <c r="D50" s="41"/>
    </row>
    <row r="51">
      <c r="A51" s="24"/>
      <c r="B51" s="24"/>
      <c r="C51" s="24"/>
      <c r="D51" s="41"/>
    </row>
    <row r="52">
      <c r="A52" s="24"/>
      <c r="B52" s="24"/>
      <c r="C52" s="24"/>
      <c r="D52" s="41"/>
    </row>
    <row r="53">
      <c r="A53" s="24"/>
      <c r="B53" s="24"/>
      <c r="C53" s="24"/>
      <c r="D53" s="41"/>
    </row>
    <row r="54">
      <c r="A54" s="24"/>
      <c r="B54" s="24"/>
      <c r="C54" s="24"/>
      <c r="D54" s="41"/>
    </row>
    <row r="55">
      <c r="A55" s="24"/>
      <c r="B55" s="24"/>
      <c r="C55" s="24"/>
      <c r="D55" s="41"/>
    </row>
    <row r="56">
      <c r="A56" s="24"/>
      <c r="B56" s="24"/>
      <c r="C56" s="24"/>
      <c r="D56" s="41"/>
    </row>
    <row r="57">
      <c r="A57" s="24"/>
      <c r="B57" s="24"/>
      <c r="C57" s="24"/>
      <c r="D57" s="41"/>
    </row>
    <row r="58">
      <c r="A58" s="24"/>
      <c r="B58" s="24"/>
      <c r="C58" s="24"/>
      <c r="D58" s="41"/>
    </row>
    <row r="59">
      <c r="A59" s="24"/>
      <c r="B59" s="24"/>
      <c r="C59" s="24"/>
      <c r="D59" s="41"/>
    </row>
    <row r="60">
      <c r="A60" s="24"/>
      <c r="B60" s="24"/>
      <c r="C60" s="24"/>
      <c r="D60" s="41"/>
    </row>
    <row r="61">
      <c r="A61" s="24"/>
      <c r="B61" s="24"/>
      <c r="C61" s="24"/>
      <c r="D61" s="41"/>
    </row>
    <row r="62">
      <c r="A62" s="24"/>
      <c r="B62" s="24"/>
      <c r="C62" s="24"/>
      <c r="D62" s="41"/>
    </row>
    <row r="63">
      <c r="A63" s="24"/>
      <c r="B63" s="24"/>
      <c r="C63" s="24"/>
      <c r="D63" s="41"/>
    </row>
    <row r="64">
      <c r="A64" s="24"/>
      <c r="B64" s="24"/>
      <c r="C64" s="24"/>
      <c r="D64" s="41"/>
    </row>
    <row r="65">
      <c r="A65" s="24"/>
      <c r="B65" s="24"/>
      <c r="C65" s="24"/>
      <c r="D65" s="41"/>
    </row>
    <row r="66">
      <c r="A66" s="24"/>
      <c r="B66" s="24"/>
      <c r="C66" s="24"/>
      <c r="D66" s="41"/>
    </row>
    <row r="67">
      <c r="A67" s="24"/>
      <c r="B67" s="24"/>
      <c r="C67" s="24"/>
      <c r="D67" s="41"/>
    </row>
    <row r="68">
      <c r="A68" s="24"/>
      <c r="B68" s="24"/>
      <c r="C68" s="24"/>
      <c r="D68" s="41"/>
    </row>
    <row r="69">
      <c r="A69" s="24"/>
      <c r="B69" s="24"/>
      <c r="C69" s="24"/>
      <c r="D69" s="41"/>
    </row>
    <row r="70">
      <c r="A70" s="24"/>
      <c r="B70" s="24"/>
      <c r="C70" s="24"/>
      <c r="D70" s="41"/>
    </row>
    <row r="71">
      <c r="A71" s="24"/>
      <c r="B71" s="24"/>
      <c r="C71" s="24"/>
      <c r="D71" s="41"/>
    </row>
    <row r="72">
      <c r="A72" s="24"/>
      <c r="B72" s="24"/>
      <c r="C72" s="24"/>
      <c r="D72" s="41"/>
    </row>
    <row r="73">
      <c r="A73" s="24"/>
      <c r="B73" s="24"/>
      <c r="C73" s="24"/>
      <c r="D73" s="41"/>
    </row>
    <row r="74">
      <c r="A74" s="24"/>
      <c r="B74" s="24"/>
      <c r="C74" s="24"/>
      <c r="D74" s="41"/>
    </row>
    <row r="75">
      <c r="A75" s="24"/>
      <c r="B75" s="24"/>
      <c r="C75" s="24"/>
      <c r="D75" s="41"/>
    </row>
    <row r="76">
      <c r="A76" s="24"/>
      <c r="B76" s="24"/>
      <c r="C76" s="24"/>
      <c r="D76" s="41"/>
    </row>
    <row r="77">
      <c r="A77" s="24"/>
      <c r="B77" s="24"/>
      <c r="C77" s="24"/>
      <c r="D77" s="41"/>
    </row>
    <row r="78">
      <c r="A78" s="24"/>
      <c r="B78" s="24"/>
      <c r="C78" s="24"/>
      <c r="D78" s="41"/>
    </row>
    <row r="79">
      <c r="A79" s="24"/>
      <c r="B79" s="24"/>
      <c r="C79" s="24"/>
      <c r="D79" s="41"/>
    </row>
    <row r="80">
      <c r="A80" s="24"/>
      <c r="B80" s="24"/>
      <c r="C80" s="24"/>
      <c r="D80" s="41"/>
    </row>
    <row r="81">
      <c r="A81" s="24"/>
      <c r="B81" s="24"/>
      <c r="C81" s="24"/>
      <c r="D81" s="41"/>
    </row>
    <row r="82">
      <c r="A82" s="24"/>
      <c r="B82" s="24"/>
      <c r="C82" s="24"/>
      <c r="D82" s="41"/>
    </row>
    <row r="83">
      <c r="A83" s="24"/>
      <c r="B83" s="24"/>
      <c r="C83" s="24"/>
      <c r="D83" s="41"/>
    </row>
    <row r="84">
      <c r="A84" s="24"/>
      <c r="B84" s="24"/>
      <c r="C84" s="24"/>
      <c r="D84" s="41"/>
    </row>
    <row r="85">
      <c r="A85" s="24"/>
      <c r="B85" s="24"/>
      <c r="C85" s="24"/>
      <c r="D85" s="41"/>
    </row>
    <row r="86">
      <c r="A86" s="24"/>
      <c r="B86" s="24"/>
      <c r="C86" s="24"/>
      <c r="D86" s="41"/>
    </row>
    <row r="87">
      <c r="A87" s="24"/>
      <c r="B87" s="24"/>
      <c r="C87" s="24"/>
      <c r="D87" s="41"/>
    </row>
    <row r="88">
      <c r="A88" s="24"/>
      <c r="B88" s="24"/>
      <c r="C88" s="24"/>
      <c r="D88" s="41"/>
    </row>
    <row r="89">
      <c r="A89" s="24"/>
      <c r="B89" s="24"/>
      <c r="C89" s="24"/>
      <c r="D89" s="41"/>
    </row>
    <row r="90">
      <c r="A90" s="24"/>
      <c r="B90" s="24"/>
      <c r="C90" s="24"/>
      <c r="D90" s="41"/>
    </row>
    <row r="91">
      <c r="A91" s="24"/>
      <c r="B91" s="24"/>
      <c r="C91" s="24"/>
      <c r="D91" s="41"/>
    </row>
    <row r="92">
      <c r="A92" s="24"/>
      <c r="B92" s="24"/>
      <c r="C92" s="24"/>
      <c r="D92" s="41"/>
    </row>
    <row r="93">
      <c r="A93" s="24"/>
      <c r="B93" s="24"/>
      <c r="C93" s="24"/>
      <c r="D93" s="41"/>
    </row>
    <row r="94">
      <c r="A94" s="24"/>
      <c r="B94" s="24"/>
      <c r="C94" s="24"/>
      <c r="D94" s="41"/>
    </row>
    <row r="95">
      <c r="A95" s="24"/>
      <c r="B95" s="24"/>
      <c r="C95" s="24"/>
      <c r="D95" s="41"/>
    </row>
    <row r="96">
      <c r="A96" s="24"/>
      <c r="B96" s="24"/>
      <c r="C96" s="24"/>
      <c r="D96" s="41"/>
    </row>
    <row r="97">
      <c r="A97" s="24"/>
      <c r="B97" s="24"/>
      <c r="C97" s="24"/>
      <c r="D97" s="41"/>
    </row>
    <row r="98">
      <c r="A98" s="24"/>
      <c r="B98" s="24"/>
      <c r="C98" s="24"/>
      <c r="D98" s="41"/>
    </row>
    <row r="99">
      <c r="A99" s="24"/>
      <c r="B99" s="24"/>
      <c r="C99" s="24"/>
      <c r="D99" s="41"/>
    </row>
    <row r="100">
      <c r="A100" s="24"/>
      <c r="B100" s="24"/>
      <c r="C100" s="24"/>
      <c r="D100" s="41"/>
    </row>
    <row r="101">
      <c r="A101" s="24"/>
      <c r="B101" s="24"/>
      <c r="C101" s="24"/>
      <c r="D101" s="41"/>
    </row>
    <row r="102">
      <c r="A102" s="24"/>
      <c r="B102" s="24"/>
      <c r="C102" s="24"/>
      <c r="D102" s="41"/>
    </row>
    <row r="103">
      <c r="A103" s="24"/>
      <c r="B103" s="24"/>
      <c r="C103" s="24"/>
      <c r="D103" s="41"/>
    </row>
    <row r="104">
      <c r="A104" s="24"/>
      <c r="B104" s="24"/>
      <c r="C104" s="24"/>
      <c r="D104" s="41"/>
    </row>
    <row r="105">
      <c r="A105" s="24"/>
      <c r="B105" s="24"/>
      <c r="C105" s="24"/>
      <c r="D105" s="41"/>
    </row>
    <row r="106">
      <c r="A106" s="24"/>
      <c r="B106" s="24"/>
      <c r="C106" s="24"/>
      <c r="D106" s="41"/>
    </row>
    <row r="107">
      <c r="A107" s="24"/>
      <c r="B107" s="24"/>
      <c r="C107" s="24"/>
      <c r="D107" s="41"/>
    </row>
    <row r="108">
      <c r="A108" s="24"/>
      <c r="B108" s="24"/>
      <c r="C108" s="24"/>
      <c r="D108" s="41"/>
    </row>
    <row r="109">
      <c r="A109" s="24"/>
      <c r="B109" s="24"/>
      <c r="C109" s="24"/>
      <c r="D109" s="41"/>
    </row>
    <row r="110">
      <c r="A110" s="24"/>
      <c r="B110" s="24"/>
      <c r="C110" s="24"/>
      <c r="D110" s="41"/>
    </row>
    <row r="111">
      <c r="A111" s="24"/>
      <c r="B111" s="24"/>
      <c r="C111" s="24"/>
      <c r="D111" s="41"/>
    </row>
    <row r="112">
      <c r="A112" s="24"/>
      <c r="B112" s="24"/>
      <c r="C112" s="24"/>
      <c r="D112" s="41"/>
    </row>
    <row r="113">
      <c r="A113" s="24"/>
      <c r="B113" s="24"/>
      <c r="C113" s="24"/>
      <c r="D113" s="41"/>
    </row>
    <row r="114">
      <c r="A114" s="24"/>
      <c r="B114" s="24"/>
      <c r="C114" s="24"/>
      <c r="D114" s="41"/>
    </row>
    <row r="115">
      <c r="A115" s="24"/>
      <c r="B115" s="24"/>
      <c r="C115" s="24"/>
      <c r="D115" s="41"/>
    </row>
    <row r="116">
      <c r="A116" s="24"/>
      <c r="B116" s="24"/>
      <c r="C116" s="24"/>
      <c r="D116" s="41"/>
    </row>
    <row r="117">
      <c r="A117" s="24"/>
      <c r="B117" s="24"/>
      <c r="C117" s="24"/>
      <c r="D117" s="41"/>
    </row>
    <row r="118">
      <c r="A118" s="24"/>
      <c r="B118" s="24"/>
      <c r="C118" s="24"/>
      <c r="D118" s="41"/>
    </row>
    <row r="119">
      <c r="A119" s="24"/>
      <c r="B119" s="24"/>
      <c r="C119" s="24"/>
      <c r="D119" s="41"/>
    </row>
    <row r="120">
      <c r="A120" s="24"/>
      <c r="B120" s="24"/>
      <c r="C120" s="24"/>
      <c r="D120" s="41"/>
    </row>
    <row r="121">
      <c r="A121" s="24"/>
      <c r="B121" s="24"/>
      <c r="C121" s="24"/>
      <c r="D121" s="41"/>
    </row>
    <row r="122">
      <c r="A122" s="24"/>
      <c r="B122" s="24"/>
      <c r="C122" s="24"/>
      <c r="D122" s="41"/>
    </row>
    <row r="123">
      <c r="A123" s="24"/>
      <c r="B123" s="24"/>
      <c r="C123" s="24"/>
      <c r="D123" s="41"/>
    </row>
    <row r="124">
      <c r="A124" s="24"/>
      <c r="B124" s="24"/>
      <c r="C124" s="24"/>
      <c r="D124" s="41"/>
    </row>
    <row r="125">
      <c r="A125" s="24"/>
      <c r="B125" s="24"/>
      <c r="C125" s="24"/>
      <c r="D125" s="41"/>
    </row>
    <row r="126">
      <c r="A126" s="24"/>
      <c r="B126" s="24"/>
      <c r="C126" s="24"/>
      <c r="D126" s="41"/>
    </row>
    <row r="127">
      <c r="A127" s="24"/>
      <c r="B127" s="24"/>
      <c r="C127" s="24"/>
      <c r="D127" s="41"/>
    </row>
    <row r="128">
      <c r="A128" s="24"/>
      <c r="B128" s="24"/>
      <c r="C128" s="24"/>
      <c r="D128" s="41"/>
    </row>
    <row r="129">
      <c r="A129" s="24"/>
      <c r="B129" s="24"/>
      <c r="C129" s="24"/>
      <c r="D129" s="41"/>
    </row>
    <row r="130">
      <c r="A130" s="24"/>
      <c r="B130" s="24"/>
      <c r="C130" s="24"/>
      <c r="D130" s="41"/>
    </row>
    <row r="131">
      <c r="A131" s="24"/>
      <c r="B131" s="24"/>
      <c r="C131" s="24"/>
      <c r="D131" s="41"/>
    </row>
    <row r="132">
      <c r="A132" s="24"/>
      <c r="B132" s="24"/>
      <c r="C132" s="24"/>
      <c r="D132" s="41"/>
    </row>
    <row r="133">
      <c r="A133" s="24"/>
      <c r="B133" s="24"/>
      <c r="C133" s="24"/>
      <c r="D133" s="41"/>
    </row>
    <row r="134">
      <c r="A134" s="24"/>
      <c r="B134" s="24"/>
      <c r="C134" s="24"/>
      <c r="D134" s="41"/>
    </row>
    <row r="135">
      <c r="A135" s="24"/>
      <c r="B135" s="24"/>
      <c r="C135" s="24"/>
      <c r="D135" s="41"/>
    </row>
    <row r="136">
      <c r="A136" s="24"/>
      <c r="B136" s="24"/>
      <c r="C136" s="24"/>
      <c r="D136" s="41"/>
    </row>
    <row r="137">
      <c r="A137" s="24"/>
      <c r="B137" s="24"/>
      <c r="C137" s="24"/>
      <c r="D137" s="41"/>
    </row>
    <row r="138">
      <c r="A138" s="24"/>
      <c r="B138" s="24"/>
      <c r="C138" s="24"/>
      <c r="D138" s="41"/>
    </row>
    <row r="139">
      <c r="A139" s="24"/>
      <c r="B139" s="24"/>
      <c r="C139" s="24"/>
      <c r="D139" s="41"/>
    </row>
    <row r="140">
      <c r="A140" s="24"/>
      <c r="B140" s="24"/>
      <c r="C140" s="24"/>
      <c r="D140" s="41"/>
    </row>
    <row r="141">
      <c r="A141" s="24"/>
      <c r="B141" s="24"/>
      <c r="C141" s="24"/>
      <c r="D141" s="41"/>
    </row>
    <row r="142">
      <c r="A142" s="24"/>
      <c r="B142" s="24"/>
      <c r="C142" s="24"/>
      <c r="D142" s="41"/>
    </row>
    <row r="143">
      <c r="A143" s="24"/>
      <c r="B143" s="24"/>
      <c r="C143" s="24"/>
      <c r="D143" s="41"/>
    </row>
    <row r="144">
      <c r="A144" s="24"/>
      <c r="B144" s="24"/>
      <c r="C144" s="24"/>
      <c r="D144" s="41"/>
    </row>
    <row r="145">
      <c r="A145" s="24"/>
      <c r="B145" s="24"/>
      <c r="C145" s="24"/>
      <c r="D145" s="41"/>
    </row>
    <row r="146">
      <c r="A146" s="24"/>
      <c r="B146" s="24"/>
      <c r="C146" s="24"/>
      <c r="D146" s="41"/>
    </row>
    <row r="147">
      <c r="A147" s="24"/>
      <c r="B147" s="24"/>
      <c r="C147" s="24"/>
      <c r="D147" s="41"/>
    </row>
    <row r="148">
      <c r="A148" s="24"/>
      <c r="B148" s="24"/>
      <c r="C148" s="24"/>
      <c r="D148" s="41"/>
    </row>
    <row r="149">
      <c r="A149" s="24"/>
      <c r="B149" s="24"/>
      <c r="C149" s="24"/>
      <c r="D149" s="41"/>
    </row>
    <row r="150">
      <c r="A150" s="24"/>
      <c r="B150" s="24"/>
      <c r="C150" s="24"/>
      <c r="D150" s="41"/>
    </row>
    <row r="151">
      <c r="A151" s="24"/>
      <c r="B151" s="24"/>
      <c r="C151" s="24"/>
      <c r="D151" s="41"/>
    </row>
    <row r="152">
      <c r="A152" s="24"/>
      <c r="B152" s="24"/>
      <c r="C152" s="24"/>
      <c r="D152" s="41"/>
    </row>
    <row r="153">
      <c r="A153" s="24"/>
      <c r="B153" s="24"/>
      <c r="C153" s="24"/>
      <c r="D153" s="41"/>
    </row>
    <row r="154">
      <c r="A154" s="24"/>
      <c r="B154" s="24"/>
      <c r="C154" s="24"/>
      <c r="D154" s="41"/>
    </row>
    <row r="155">
      <c r="A155" s="24"/>
      <c r="B155" s="24"/>
      <c r="C155" s="24"/>
      <c r="D155" s="41"/>
    </row>
    <row r="156">
      <c r="A156" s="24"/>
      <c r="B156" s="24"/>
      <c r="C156" s="24"/>
      <c r="D156" s="41"/>
    </row>
    <row r="157">
      <c r="A157" s="24"/>
      <c r="B157" s="24"/>
      <c r="C157" s="24"/>
      <c r="D157" s="41"/>
    </row>
    <row r="158">
      <c r="A158" s="24"/>
      <c r="B158" s="24"/>
      <c r="C158" s="24"/>
      <c r="D158" s="41"/>
    </row>
    <row r="159">
      <c r="A159" s="24"/>
      <c r="B159" s="24"/>
      <c r="C159" s="24"/>
      <c r="D159" s="41"/>
    </row>
    <row r="160">
      <c r="A160" s="24"/>
      <c r="B160" s="24"/>
      <c r="C160" s="24"/>
      <c r="D160" s="41"/>
    </row>
    <row r="161">
      <c r="A161" s="24"/>
      <c r="B161" s="24"/>
      <c r="C161" s="24"/>
      <c r="D161" s="41"/>
    </row>
    <row r="162">
      <c r="A162" s="24"/>
      <c r="B162" s="24"/>
      <c r="C162" s="24"/>
      <c r="D162" s="41"/>
    </row>
    <row r="163">
      <c r="A163" s="24"/>
      <c r="B163" s="24"/>
      <c r="C163" s="24"/>
      <c r="D163" s="41"/>
    </row>
    <row r="164">
      <c r="A164" s="24"/>
      <c r="B164" s="24"/>
      <c r="C164" s="24"/>
      <c r="D164" s="41"/>
    </row>
    <row r="165">
      <c r="A165" s="24"/>
      <c r="B165" s="24"/>
      <c r="C165" s="24"/>
      <c r="D165" s="41"/>
    </row>
    <row r="166">
      <c r="A166" s="24"/>
      <c r="B166" s="24"/>
      <c r="C166" s="24"/>
      <c r="D166" s="41"/>
    </row>
    <row r="167">
      <c r="A167" s="24"/>
      <c r="B167" s="24"/>
      <c r="C167" s="24"/>
      <c r="D167" s="41"/>
    </row>
    <row r="168">
      <c r="A168" s="24"/>
      <c r="B168" s="24"/>
      <c r="C168" s="24"/>
      <c r="D168" s="41"/>
    </row>
    <row r="169">
      <c r="A169" s="24"/>
      <c r="B169" s="24"/>
      <c r="C169" s="24"/>
      <c r="D169" s="41"/>
    </row>
    <row r="170">
      <c r="A170" s="24"/>
      <c r="B170" s="24"/>
      <c r="C170" s="24"/>
      <c r="D170" s="41"/>
    </row>
    <row r="171">
      <c r="A171" s="24"/>
      <c r="B171" s="24"/>
      <c r="C171" s="24"/>
      <c r="D171" s="41"/>
    </row>
    <row r="172">
      <c r="A172" s="24"/>
      <c r="B172" s="24"/>
      <c r="C172" s="24"/>
      <c r="D172" s="41"/>
    </row>
    <row r="173">
      <c r="A173" s="24"/>
      <c r="B173" s="24"/>
      <c r="C173" s="24"/>
      <c r="D173" s="41"/>
    </row>
    <row r="174">
      <c r="A174" s="24"/>
      <c r="B174" s="24"/>
      <c r="C174" s="24"/>
      <c r="D174" s="41"/>
    </row>
    <row r="175">
      <c r="A175" s="24"/>
      <c r="B175" s="24"/>
      <c r="C175" s="24"/>
      <c r="D175" s="41"/>
    </row>
    <row r="176">
      <c r="A176" s="24"/>
      <c r="B176" s="24"/>
      <c r="C176" s="24"/>
      <c r="D176" s="41"/>
    </row>
    <row r="177">
      <c r="A177" s="24"/>
      <c r="B177" s="24"/>
      <c r="C177" s="24"/>
      <c r="D177" s="41"/>
    </row>
    <row r="178">
      <c r="A178" s="24"/>
      <c r="B178" s="24"/>
      <c r="C178" s="24"/>
      <c r="D178" s="41"/>
    </row>
    <row r="179">
      <c r="A179" s="24"/>
      <c r="B179" s="24"/>
      <c r="C179" s="24"/>
      <c r="D179" s="41"/>
    </row>
    <row r="180">
      <c r="A180" s="24"/>
      <c r="B180" s="24"/>
      <c r="C180" s="24"/>
      <c r="D180" s="41"/>
    </row>
    <row r="181">
      <c r="A181" s="24"/>
      <c r="B181" s="24"/>
      <c r="C181" s="24"/>
      <c r="D181" s="41"/>
    </row>
    <row r="182">
      <c r="A182" s="24"/>
      <c r="B182" s="24"/>
      <c r="C182" s="24"/>
      <c r="D182" s="41"/>
    </row>
    <row r="183">
      <c r="A183" s="24"/>
      <c r="B183" s="24"/>
      <c r="C183" s="24"/>
      <c r="D183" s="41"/>
    </row>
    <row r="184">
      <c r="A184" s="24"/>
      <c r="B184" s="24"/>
      <c r="C184" s="24"/>
      <c r="D184" s="41"/>
    </row>
    <row r="185">
      <c r="A185" s="24"/>
      <c r="B185" s="24"/>
      <c r="C185" s="24"/>
      <c r="D185" s="41"/>
    </row>
    <row r="186">
      <c r="A186" s="24"/>
      <c r="B186" s="24"/>
      <c r="C186" s="24"/>
      <c r="D186" s="41"/>
    </row>
    <row r="187">
      <c r="A187" s="24"/>
      <c r="B187" s="24"/>
      <c r="C187" s="24"/>
      <c r="D187" s="41"/>
    </row>
    <row r="188">
      <c r="A188" s="24"/>
      <c r="B188" s="24"/>
      <c r="C188" s="24"/>
      <c r="D188" s="41"/>
    </row>
    <row r="189">
      <c r="A189" s="24"/>
      <c r="B189" s="24"/>
      <c r="C189" s="24"/>
      <c r="D189" s="41"/>
    </row>
    <row r="190">
      <c r="A190" s="24"/>
      <c r="B190" s="24"/>
      <c r="C190" s="24"/>
      <c r="D190" s="41"/>
    </row>
    <row r="191">
      <c r="A191" s="24"/>
      <c r="B191" s="24"/>
      <c r="C191" s="24"/>
      <c r="D191" s="41"/>
    </row>
    <row r="192">
      <c r="A192" s="24"/>
      <c r="B192" s="24"/>
      <c r="C192" s="24"/>
      <c r="D192" s="41"/>
    </row>
    <row r="193">
      <c r="A193" s="24"/>
      <c r="B193" s="24"/>
      <c r="C193" s="24"/>
      <c r="D193" s="41"/>
    </row>
    <row r="194">
      <c r="A194" s="24"/>
      <c r="B194" s="24"/>
      <c r="C194" s="24"/>
      <c r="D194" s="41"/>
    </row>
    <row r="195">
      <c r="A195" s="24"/>
      <c r="B195" s="24"/>
      <c r="C195" s="24"/>
      <c r="D195" s="41"/>
    </row>
    <row r="196">
      <c r="A196" s="24"/>
      <c r="B196" s="24"/>
      <c r="C196" s="24"/>
      <c r="D196" s="41"/>
    </row>
    <row r="197">
      <c r="A197" s="24"/>
      <c r="B197" s="24"/>
      <c r="C197" s="24"/>
      <c r="D197" s="41"/>
    </row>
    <row r="198">
      <c r="A198" s="24"/>
      <c r="B198" s="24"/>
      <c r="C198" s="24"/>
      <c r="D198" s="41"/>
    </row>
    <row r="199">
      <c r="A199" s="24"/>
      <c r="B199" s="24"/>
      <c r="C199" s="24"/>
      <c r="D199" s="41"/>
    </row>
    <row r="200">
      <c r="A200" s="24"/>
      <c r="B200" s="24"/>
      <c r="C200" s="24"/>
      <c r="D200" s="41"/>
    </row>
    <row r="201">
      <c r="A201" s="24"/>
      <c r="B201" s="24"/>
      <c r="C201" s="24"/>
      <c r="D201" s="41"/>
    </row>
    <row r="202">
      <c r="A202" s="24"/>
      <c r="B202" s="24"/>
      <c r="C202" s="24"/>
      <c r="D202" s="41"/>
    </row>
    <row r="203">
      <c r="A203" s="24"/>
      <c r="B203" s="24"/>
      <c r="C203" s="24"/>
      <c r="D203" s="41"/>
    </row>
    <row r="204">
      <c r="A204" s="24"/>
      <c r="B204" s="24"/>
      <c r="C204" s="24"/>
      <c r="D204" s="41"/>
    </row>
    <row r="205">
      <c r="A205" s="24"/>
      <c r="B205" s="24"/>
      <c r="C205" s="24"/>
      <c r="D205" s="41"/>
    </row>
    <row r="206">
      <c r="A206" s="24"/>
      <c r="B206" s="24"/>
      <c r="C206" s="24"/>
      <c r="D206" s="41"/>
    </row>
    <row r="207">
      <c r="A207" s="24"/>
      <c r="B207" s="24"/>
      <c r="C207" s="24"/>
      <c r="D207" s="41"/>
    </row>
    <row r="208">
      <c r="A208" s="24"/>
      <c r="B208" s="24"/>
      <c r="C208" s="24"/>
      <c r="D208" s="41"/>
    </row>
    <row r="209">
      <c r="A209" s="24"/>
      <c r="B209" s="24"/>
      <c r="C209" s="24"/>
      <c r="D209" s="41"/>
    </row>
    <row r="210">
      <c r="A210" s="24"/>
      <c r="B210" s="24"/>
      <c r="C210" s="24"/>
      <c r="D210" s="41"/>
    </row>
    <row r="211">
      <c r="A211" s="24"/>
      <c r="B211" s="24"/>
      <c r="C211" s="24"/>
      <c r="D211" s="41"/>
    </row>
    <row r="212">
      <c r="A212" s="24"/>
      <c r="B212" s="24"/>
      <c r="C212" s="24"/>
      <c r="D212" s="41"/>
    </row>
    <row r="213">
      <c r="A213" s="24"/>
      <c r="B213" s="24"/>
      <c r="C213" s="24"/>
      <c r="D213" s="41"/>
    </row>
    <row r="214">
      <c r="A214" s="24"/>
      <c r="B214" s="24"/>
      <c r="C214" s="24"/>
      <c r="D214" s="41"/>
    </row>
    <row r="215">
      <c r="A215" s="24"/>
      <c r="B215" s="24"/>
      <c r="C215" s="24"/>
      <c r="D215" s="41"/>
    </row>
    <row r="216">
      <c r="A216" s="24"/>
      <c r="B216" s="24"/>
      <c r="C216" s="24"/>
      <c r="D216" s="41"/>
    </row>
    <row r="217">
      <c r="A217" s="24"/>
      <c r="B217" s="24"/>
      <c r="C217" s="24"/>
      <c r="D217" s="41"/>
    </row>
    <row r="218">
      <c r="A218" s="24"/>
      <c r="B218" s="24"/>
      <c r="C218" s="24"/>
      <c r="D218" s="41"/>
    </row>
    <row r="219">
      <c r="A219" s="24"/>
      <c r="B219" s="24"/>
      <c r="C219" s="24"/>
      <c r="D219" s="41"/>
    </row>
    <row r="220">
      <c r="A220" s="24"/>
      <c r="B220" s="24"/>
      <c r="C220" s="24"/>
      <c r="D220" s="41"/>
    </row>
    <row r="221">
      <c r="A221" s="24"/>
      <c r="B221" s="24"/>
      <c r="C221" s="24"/>
      <c r="D221" s="41"/>
    </row>
    <row r="222">
      <c r="A222" s="24"/>
      <c r="B222" s="24"/>
      <c r="C222" s="24"/>
      <c r="D222" s="41"/>
    </row>
    <row r="223">
      <c r="A223" s="24"/>
      <c r="B223" s="24"/>
      <c r="C223" s="24"/>
      <c r="D223" s="41"/>
    </row>
    <row r="224">
      <c r="A224" s="24"/>
      <c r="B224" s="24"/>
      <c r="C224" s="24"/>
      <c r="D224" s="41"/>
    </row>
    <row r="225">
      <c r="A225" s="24"/>
      <c r="B225" s="24"/>
      <c r="C225" s="24"/>
      <c r="D225" s="41"/>
    </row>
    <row r="226">
      <c r="A226" s="24"/>
      <c r="B226" s="24"/>
      <c r="C226" s="24"/>
      <c r="D226" s="41"/>
    </row>
    <row r="227">
      <c r="A227" s="24"/>
      <c r="B227" s="24"/>
      <c r="C227" s="24"/>
      <c r="D227" s="41"/>
    </row>
    <row r="228">
      <c r="A228" s="24"/>
      <c r="B228" s="24"/>
      <c r="C228" s="24"/>
      <c r="D228" s="41"/>
    </row>
    <row r="229">
      <c r="A229" s="24"/>
      <c r="B229" s="24"/>
      <c r="C229" s="24"/>
      <c r="D229" s="41"/>
    </row>
    <row r="230">
      <c r="A230" s="24"/>
      <c r="B230" s="24"/>
      <c r="C230" s="24"/>
      <c r="D230" s="41"/>
    </row>
    <row r="231">
      <c r="A231" s="24"/>
      <c r="B231" s="24"/>
      <c r="C231" s="24"/>
      <c r="D231" s="41"/>
    </row>
    <row r="232">
      <c r="A232" s="24"/>
      <c r="B232" s="24"/>
      <c r="C232" s="24"/>
      <c r="D232" s="41"/>
    </row>
    <row r="233">
      <c r="A233" s="24"/>
      <c r="B233" s="24"/>
      <c r="C233" s="24"/>
      <c r="D233" s="41"/>
    </row>
    <row r="234">
      <c r="A234" s="24"/>
      <c r="B234" s="24"/>
      <c r="C234" s="24"/>
      <c r="D234" s="41"/>
    </row>
    <row r="235">
      <c r="A235" s="24"/>
      <c r="B235" s="24"/>
      <c r="C235" s="24"/>
      <c r="D235" s="41"/>
    </row>
    <row r="236">
      <c r="A236" s="24"/>
      <c r="B236" s="24"/>
      <c r="C236" s="24"/>
      <c r="D236" s="41"/>
    </row>
    <row r="237">
      <c r="A237" s="24"/>
      <c r="B237" s="24"/>
      <c r="C237" s="24"/>
      <c r="D237" s="41"/>
    </row>
    <row r="238">
      <c r="A238" s="24"/>
      <c r="B238" s="24"/>
      <c r="C238" s="24"/>
      <c r="D238" s="41"/>
    </row>
    <row r="239">
      <c r="A239" s="24"/>
      <c r="B239" s="24"/>
      <c r="C239" s="24"/>
      <c r="D239" s="41"/>
    </row>
    <row r="240">
      <c r="A240" s="24"/>
      <c r="B240" s="24"/>
      <c r="C240" s="24"/>
      <c r="D240" s="41"/>
    </row>
    <row r="241">
      <c r="A241" s="24"/>
      <c r="B241" s="24"/>
      <c r="C241" s="24"/>
      <c r="D241" s="41"/>
    </row>
    <row r="242">
      <c r="A242" s="24"/>
      <c r="B242" s="24"/>
      <c r="C242" s="24"/>
      <c r="D242" s="41"/>
    </row>
    <row r="243">
      <c r="A243" s="24"/>
      <c r="B243" s="24"/>
      <c r="C243" s="24"/>
      <c r="D243" s="41"/>
    </row>
    <row r="244">
      <c r="A244" s="24"/>
      <c r="B244" s="24"/>
      <c r="C244" s="24"/>
      <c r="D244" s="41"/>
    </row>
    <row r="245">
      <c r="A245" s="24"/>
      <c r="B245" s="24"/>
      <c r="C245" s="24"/>
      <c r="D245" s="41"/>
    </row>
    <row r="246">
      <c r="A246" s="24"/>
      <c r="B246" s="24"/>
      <c r="C246" s="24"/>
      <c r="D246" s="41"/>
    </row>
    <row r="247">
      <c r="A247" s="24"/>
      <c r="B247" s="24"/>
      <c r="C247" s="24"/>
      <c r="D247" s="41"/>
    </row>
    <row r="248">
      <c r="A248" s="24"/>
      <c r="B248" s="24"/>
      <c r="C248" s="24"/>
      <c r="D248" s="41"/>
    </row>
    <row r="249">
      <c r="A249" s="24"/>
      <c r="B249" s="24"/>
      <c r="C249" s="24"/>
      <c r="D249" s="41"/>
    </row>
    <row r="250">
      <c r="A250" s="24"/>
      <c r="B250" s="24"/>
      <c r="C250" s="24"/>
      <c r="D250" s="41"/>
    </row>
    <row r="251">
      <c r="A251" s="24"/>
      <c r="B251" s="24"/>
      <c r="C251" s="24"/>
      <c r="D251" s="41"/>
    </row>
    <row r="252">
      <c r="A252" s="24"/>
      <c r="B252" s="24"/>
      <c r="C252" s="24"/>
      <c r="D252" s="41"/>
    </row>
    <row r="253">
      <c r="A253" s="24"/>
      <c r="B253" s="24"/>
      <c r="C253" s="24"/>
      <c r="D253" s="41"/>
    </row>
    <row r="254">
      <c r="A254" s="24"/>
      <c r="B254" s="24"/>
      <c r="C254" s="24"/>
      <c r="D254" s="41"/>
    </row>
    <row r="255">
      <c r="A255" s="24"/>
      <c r="B255" s="24"/>
      <c r="C255" s="24"/>
      <c r="D255" s="41"/>
    </row>
    <row r="256">
      <c r="A256" s="24"/>
      <c r="B256" s="24"/>
      <c r="C256" s="24"/>
      <c r="D256" s="41"/>
    </row>
    <row r="257">
      <c r="A257" s="24"/>
      <c r="B257" s="24"/>
      <c r="C257" s="24"/>
      <c r="D257" s="41"/>
    </row>
    <row r="258">
      <c r="A258" s="24"/>
      <c r="B258" s="24"/>
      <c r="C258" s="24"/>
      <c r="D258" s="41"/>
    </row>
    <row r="259">
      <c r="A259" s="24"/>
      <c r="B259" s="24"/>
      <c r="C259" s="24"/>
      <c r="D259" s="41"/>
    </row>
    <row r="260">
      <c r="A260" s="24"/>
      <c r="B260" s="24"/>
      <c r="C260" s="24"/>
      <c r="D260" s="41"/>
    </row>
    <row r="261">
      <c r="A261" s="24"/>
      <c r="B261" s="24"/>
      <c r="C261" s="24"/>
      <c r="D261" s="41"/>
    </row>
    <row r="262">
      <c r="A262" s="24"/>
      <c r="B262" s="24"/>
      <c r="C262" s="24"/>
      <c r="D262" s="41"/>
    </row>
    <row r="263">
      <c r="A263" s="24"/>
      <c r="B263" s="24"/>
      <c r="C263" s="24"/>
      <c r="D263" s="41"/>
    </row>
    <row r="264">
      <c r="A264" s="24"/>
      <c r="B264" s="24"/>
      <c r="C264" s="24"/>
      <c r="D264" s="41"/>
    </row>
    <row r="265">
      <c r="A265" s="24"/>
      <c r="B265" s="24"/>
      <c r="C265" s="24"/>
      <c r="D265" s="41"/>
    </row>
    <row r="266">
      <c r="A266" s="24"/>
      <c r="B266" s="24"/>
      <c r="C266" s="24"/>
      <c r="D266" s="41"/>
    </row>
    <row r="267">
      <c r="A267" s="24"/>
      <c r="B267" s="24"/>
      <c r="C267" s="24"/>
      <c r="D267" s="41"/>
    </row>
    <row r="268">
      <c r="A268" s="24"/>
      <c r="B268" s="24"/>
      <c r="C268" s="24"/>
      <c r="D268" s="41"/>
    </row>
    <row r="269">
      <c r="A269" s="24"/>
      <c r="B269" s="24"/>
      <c r="C269" s="24"/>
      <c r="D269" s="41"/>
    </row>
    <row r="270">
      <c r="A270" s="24"/>
      <c r="B270" s="24"/>
      <c r="C270" s="24"/>
      <c r="D270" s="41"/>
    </row>
    <row r="271">
      <c r="A271" s="24"/>
      <c r="B271" s="24"/>
      <c r="C271" s="24"/>
      <c r="D271" s="41"/>
    </row>
    <row r="272">
      <c r="A272" s="24"/>
      <c r="B272" s="24"/>
      <c r="C272" s="24"/>
      <c r="D272" s="41"/>
    </row>
    <row r="273">
      <c r="A273" s="24"/>
      <c r="B273" s="24"/>
      <c r="C273" s="24"/>
      <c r="D273" s="41"/>
    </row>
    <row r="274">
      <c r="A274" s="24"/>
      <c r="B274" s="24"/>
      <c r="C274" s="24"/>
      <c r="D274" s="41"/>
    </row>
    <row r="275">
      <c r="A275" s="24"/>
      <c r="B275" s="24"/>
      <c r="C275" s="24"/>
      <c r="D275" s="41"/>
    </row>
    <row r="276">
      <c r="A276" s="24"/>
      <c r="B276" s="24"/>
      <c r="C276" s="24"/>
      <c r="D276" s="41"/>
    </row>
    <row r="277">
      <c r="A277" s="24"/>
      <c r="B277" s="24"/>
      <c r="C277" s="24"/>
      <c r="D277" s="41"/>
    </row>
    <row r="278">
      <c r="A278" s="24"/>
      <c r="B278" s="24"/>
      <c r="C278" s="24"/>
      <c r="D278" s="41"/>
    </row>
    <row r="279">
      <c r="A279" s="24"/>
      <c r="B279" s="24"/>
      <c r="C279" s="24"/>
      <c r="D279" s="41"/>
    </row>
    <row r="280">
      <c r="A280" s="24"/>
      <c r="B280" s="24"/>
      <c r="C280" s="24"/>
      <c r="D280" s="41"/>
    </row>
    <row r="281">
      <c r="A281" s="24"/>
      <c r="B281" s="24"/>
      <c r="C281" s="24"/>
      <c r="D281" s="41"/>
    </row>
    <row r="282">
      <c r="A282" s="24"/>
      <c r="B282" s="24"/>
      <c r="C282" s="24"/>
      <c r="D282" s="41"/>
    </row>
    <row r="283">
      <c r="A283" s="24"/>
      <c r="B283" s="24"/>
      <c r="C283" s="24"/>
      <c r="D283" s="41"/>
    </row>
    <row r="284">
      <c r="A284" s="24"/>
      <c r="B284" s="24"/>
      <c r="C284" s="24"/>
      <c r="D284" s="41"/>
    </row>
    <row r="285">
      <c r="A285" s="24"/>
      <c r="B285" s="24"/>
      <c r="C285" s="24"/>
      <c r="D285" s="41"/>
    </row>
    <row r="286">
      <c r="A286" s="24"/>
      <c r="B286" s="24"/>
      <c r="C286" s="24"/>
      <c r="D286" s="41"/>
    </row>
    <row r="287">
      <c r="A287" s="24"/>
      <c r="B287" s="24"/>
      <c r="C287" s="24"/>
      <c r="D287" s="41"/>
    </row>
    <row r="288">
      <c r="A288" s="24"/>
      <c r="B288" s="24"/>
      <c r="C288" s="24"/>
      <c r="D288" s="41"/>
    </row>
    <row r="289">
      <c r="A289" s="24"/>
      <c r="B289" s="24"/>
      <c r="C289" s="24"/>
      <c r="D289" s="41"/>
    </row>
    <row r="290">
      <c r="A290" s="24"/>
      <c r="B290" s="24"/>
      <c r="C290" s="24"/>
      <c r="D290" s="41"/>
    </row>
    <row r="291">
      <c r="A291" s="24"/>
      <c r="B291" s="24"/>
      <c r="C291" s="24"/>
      <c r="D291" s="41"/>
    </row>
    <row r="292">
      <c r="A292" s="24"/>
      <c r="B292" s="24"/>
      <c r="C292" s="24"/>
      <c r="D292" s="41"/>
    </row>
    <row r="293">
      <c r="A293" s="24"/>
      <c r="B293" s="24"/>
      <c r="C293" s="24"/>
      <c r="D293" s="41"/>
    </row>
    <row r="294">
      <c r="A294" s="24"/>
      <c r="B294" s="24"/>
      <c r="C294" s="24"/>
      <c r="D294" s="41"/>
    </row>
    <row r="295">
      <c r="A295" s="24"/>
      <c r="B295" s="24"/>
      <c r="C295" s="24"/>
      <c r="D295" s="41"/>
    </row>
    <row r="296">
      <c r="A296" s="24"/>
      <c r="B296" s="24"/>
      <c r="C296" s="24"/>
      <c r="D296" s="41"/>
    </row>
    <row r="297">
      <c r="A297" s="24"/>
      <c r="B297" s="24"/>
      <c r="C297" s="24"/>
      <c r="D297" s="41"/>
    </row>
    <row r="298">
      <c r="A298" s="24"/>
      <c r="B298" s="24"/>
      <c r="C298" s="24"/>
      <c r="D298" s="41"/>
    </row>
    <row r="299">
      <c r="A299" s="24"/>
      <c r="B299" s="24"/>
      <c r="C299" s="24"/>
      <c r="D299" s="41"/>
    </row>
    <row r="300">
      <c r="A300" s="24"/>
      <c r="B300" s="24"/>
      <c r="C300" s="24"/>
      <c r="D300" s="41"/>
    </row>
    <row r="301">
      <c r="A301" s="24"/>
      <c r="B301" s="24"/>
      <c r="C301" s="24"/>
      <c r="D301" s="41"/>
    </row>
    <row r="302">
      <c r="A302" s="24"/>
      <c r="B302" s="24"/>
      <c r="C302" s="24"/>
      <c r="D302" s="41"/>
    </row>
    <row r="303">
      <c r="A303" s="24"/>
      <c r="B303" s="24"/>
      <c r="C303" s="24"/>
      <c r="D303" s="41"/>
    </row>
    <row r="304">
      <c r="A304" s="24"/>
      <c r="B304" s="24"/>
      <c r="C304" s="24"/>
      <c r="D304" s="41"/>
    </row>
    <row r="305">
      <c r="A305" s="24"/>
      <c r="B305" s="24"/>
      <c r="C305" s="24"/>
      <c r="D305" s="41"/>
    </row>
    <row r="306">
      <c r="A306" s="24"/>
      <c r="B306" s="24"/>
      <c r="C306" s="24"/>
      <c r="D306" s="41"/>
    </row>
    <row r="307">
      <c r="A307" s="24"/>
      <c r="B307" s="24"/>
      <c r="C307" s="24"/>
      <c r="D307" s="41"/>
    </row>
    <row r="308">
      <c r="A308" s="24"/>
      <c r="B308" s="24"/>
      <c r="C308" s="24"/>
      <c r="D308" s="41"/>
    </row>
    <row r="309">
      <c r="A309" s="24"/>
      <c r="B309" s="24"/>
      <c r="C309" s="24"/>
      <c r="D309" s="41"/>
    </row>
    <row r="310">
      <c r="A310" s="24"/>
      <c r="B310" s="24"/>
      <c r="C310" s="24"/>
      <c r="D310" s="41"/>
    </row>
    <row r="311">
      <c r="A311" s="24"/>
      <c r="B311" s="24"/>
      <c r="C311" s="24"/>
      <c r="D311" s="41"/>
    </row>
    <row r="312">
      <c r="A312" s="24"/>
      <c r="B312" s="24"/>
      <c r="C312" s="24"/>
      <c r="D312" s="41"/>
    </row>
    <row r="313">
      <c r="A313" s="24"/>
      <c r="B313" s="24"/>
      <c r="C313" s="24"/>
      <c r="D313" s="41"/>
    </row>
    <row r="314">
      <c r="A314" s="24"/>
      <c r="B314" s="24"/>
      <c r="C314" s="24"/>
      <c r="D314" s="41"/>
    </row>
    <row r="315">
      <c r="A315" s="24"/>
      <c r="B315" s="24"/>
      <c r="C315" s="24"/>
      <c r="D315" s="41"/>
    </row>
    <row r="316">
      <c r="A316" s="24"/>
      <c r="B316" s="24"/>
      <c r="C316" s="24"/>
      <c r="D316" s="41"/>
    </row>
    <row r="317">
      <c r="A317" s="24"/>
      <c r="B317" s="24"/>
      <c r="C317" s="24"/>
      <c r="D317" s="41"/>
    </row>
    <row r="318">
      <c r="A318" s="24"/>
      <c r="B318" s="24"/>
      <c r="C318" s="24"/>
      <c r="D318" s="41"/>
    </row>
    <row r="319">
      <c r="A319" s="24"/>
      <c r="B319" s="24"/>
      <c r="C319" s="24"/>
      <c r="D319" s="41"/>
    </row>
    <row r="320">
      <c r="A320" s="24"/>
      <c r="B320" s="24"/>
      <c r="C320" s="24"/>
      <c r="D320" s="41"/>
    </row>
    <row r="321">
      <c r="A321" s="24"/>
      <c r="B321" s="24"/>
      <c r="C321" s="24"/>
      <c r="D321" s="41"/>
    </row>
    <row r="322">
      <c r="A322" s="24"/>
      <c r="B322" s="24"/>
      <c r="C322" s="24"/>
      <c r="D322" s="41"/>
    </row>
    <row r="323">
      <c r="A323" s="24"/>
      <c r="B323" s="24"/>
      <c r="C323" s="24"/>
      <c r="D323" s="41"/>
    </row>
    <row r="324">
      <c r="A324" s="24"/>
      <c r="B324" s="24"/>
      <c r="C324" s="24"/>
      <c r="D324" s="41"/>
    </row>
    <row r="325">
      <c r="A325" s="24"/>
      <c r="B325" s="24"/>
      <c r="C325" s="24"/>
      <c r="D325" s="41"/>
    </row>
    <row r="326">
      <c r="A326" s="24"/>
      <c r="B326" s="24"/>
      <c r="C326" s="24"/>
      <c r="D326" s="41"/>
    </row>
    <row r="327">
      <c r="A327" s="24"/>
      <c r="B327" s="24"/>
      <c r="C327" s="24"/>
      <c r="D327" s="41"/>
    </row>
    <row r="328">
      <c r="A328" s="24"/>
      <c r="B328" s="24"/>
      <c r="C328" s="24"/>
      <c r="D328" s="41"/>
    </row>
    <row r="329">
      <c r="A329" s="24"/>
      <c r="B329" s="24"/>
      <c r="C329" s="24"/>
      <c r="D329" s="41"/>
    </row>
    <row r="330">
      <c r="A330" s="24"/>
      <c r="B330" s="24"/>
      <c r="C330" s="24"/>
      <c r="D330" s="41"/>
    </row>
    <row r="331">
      <c r="A331" s="24"/>
      <c r="B331" s="24"/>
      <c r="C331" s="24"/>
      <c r="D331" s="41"/>
    </row>
    <row r="332">
      <c r="A332" s="24"/>
      <c r="B332" s="24"/>
      <c r="C332" s="24"/>
      <c r="D332" s="41"/>
    </row>
    <row r="333">
      <c r="A333" s="24"/>
      <c r="B333" s="24"/>
      <c r="C333" s="24"/>
      <c r="D333" s="41"/>
    </row>
    <row r="334">
      <c r="A334" s="24"/>
      <c r="B334" s="24"/>
      <c r="C334" s="24"/>
      <c r="D334" s="41"/>
    </row>
    <row r="335">
      <c r="A335" s="24"/>
      <c r="B335" s="24"/>
      <c r="C335" s="24"/>
      <c r="D335" s="41"/>
    </row>
    <row r="336">
      <c r="A336" s="24"/>
      <c r="B336" s="24"/>
      <c r="C336" s="24"/>
      <c r="D336" s="41"/>
    </row>
    <row r="337">
      <c r="A337" s="24"/>
      <c r="B337" s="24"/>
      <c r="C337" s="24"/>
      <c r="D337" s="41"/>
    </row>
    <row r="338">
      <c r="A338" s="24"/>
      <c r="B338" s="24"/>
      <c r="C338" s="24"/>
      <c r="D338" s="41"/>
    </row>
    <row r="339">
      <c r="A339" s="24"/>
      <c r="B339" s="24"/>
      <c r="C339" s="24"/>
      <c r="D339" s="41"/>
    </row>
    <row r="340">
      <c r="A340" s="24"/>
      <c r="B340" s="24"/>
      <c r="C340" s="24"/>
      <c r="D340" s="41"/>
    </row>
    <row r="341">
      <c r="A341" s="24"/>
      <c r="B341" s="24"/>
      <c r="C341" s="24"/>
      <c r="D341" s="41"/>
    </row>
    <row r="342">
      <c r="A342" s="24"/>
      <c r="B342" s="24"/>
      <c r="C342" s="24"/>
      <c r="D342" s="41"/>
    </row>
    <row r="343">
      <c r="A343" s="24"/>
      <c r="B343" s="24"/>
      <c r="C343" s="24"/>
      <c r="D343" s="41"/>
    </row>
    <row r="344">
      <c r="A344" s="24"/>
      <c r="B344" s="24"/>
      <c r="C344" s="24"/>
      <c r="D344" s="41"/>
    </row>
    <row r="345">
      <c r="A345" s="24"/>
      <c r="B345" s="24"/>
      <c r="C345" s="24"/>
      <c r="D345" s="41"/>
    </row>
    <row r="346">
      <c r="A346" s="24"/>
      <c r="B346" s="24"/>
      <c r="C346" s="24"/>
      <c r="D346" s="41"/>
    </row>
    <row r="347">
      <c r="A347" s="24"/>
      <c r="B347" s="24"/>
      <c r="C347" s="24"/>
      <c r="D347" s="41"/>
    </row>
    <row r="348">
      <c r="A348" s="24"/>
      <c r="B348" s="24"/>
      <c r="C348" s="24"/>
      <c r="D348" s="41"/>
    </row>
    <row r="349">
      <c r="A349" s="24"/>
      <c r="B349" s="24"/>
      <c r="C349" s="24"/>
      <c r="D349" s="41"/>
    </row>
    <row r="350">
      <c r="A350" s="24"/>
      <c r="B350" s="24"/>
      <c r="C350" s="24"/>
      <c r="D350" s="41"/>
    </row>
    <row r="351">
      <c r="A351" s="24"/>
      <c r="B351" s="24"/>
      <c r="C351" s="24"/>
      <c r="D351" s="41"/>
    </row>
    <row r="352">
      <c r="A352" s="24"/>
      <c r="B352" s="24"/>
      <c r="C352" s="24"/>
      <c r="D352" s="41"/>
    </row>
    <row r="353">
      <c r="A353" s="24"/>
      <c r="B353" s="24"/>
      <c r="C353" s="24"/>
      <c r="D353" s="41"/>
    </row>
    <row r="354">
      <c r="A354" s="24"/>
      <c r="B354" s="24"/>
      <c r="C354" s="24"/>
      <c r="D354" s="41"/>
    </row>
    <row r="355">
      <c r="A355" s="24"/>
      <c r="B355" s="24"/>
      <c r="C355" s="24"/>
      <c r="D355" s="41"/>
    </row>
    <row r="356">
      <c r="A356" s="24"/>
      <c r="B356" s="24"/>
      <c r="C356" s="24"/>
      <c r="D356" s="41"/>
    </row>
    <row r="357">
      <c r="A357" s="24"/>
      <c r="B357" s="24"/>
      <c r="C357" s="24"/>
      <c r="D357" s="41"/>
    </row>
    <row r="358">
      <c r="A358" s="24"/>
      <c r="B358" s="24"/>
      <c r="C358" s="24"/>
      <c r="D358" s="41"/>
    </row>
    <row r="359">
      <c r="A359" s="24"/>
      <c r="B359" s="24"/>
      <c r="C359" s="24"/>
      <c r="D359" s="41"/>
    </row>
    <row r="360">
      <c r="A360" s="24"/>
      <c r="B360" s="24"/>
      <c r="C360" s="24"/>
      <c r="D360" s="41"/>
    </row>
    <row r="361">
      <c r="A361" s="24"/>
      <c r="B361" s="24"/>
      <c r="C361" s="24"/>
      <c r="D361" s="41"/>
    </row>
    <row r="362">
      <c r="A362" s="24"/>
      <c r="B362" s="24"/>
      <c r="C362" s="24"/>
      <c r="D362" s="41"/>
    </row>
    <row r="363">
      <c r="A363" s="24"/>
      <c r="B363" s="24"/>
      <c r="C363" s="24"/>
      <c r="D363" s="41"/>
    </row>
    <row r="364">
      <c r="A364" s="24"/>
      <c r="B364" s="24"/>
      <c r="C364" s="24"/>
      <c r="D364" s="41"/>
    </row>
    <row r="365">
      <c r="A365" s="24"/>
      <c r="B365" s="24"/>
      <c r="C365" s="24"/>
      <c r="D365" s="41"/>
    </row>
    <row r="366">
      <c r="A366" s="24"/>
      <c r="B366" s="24"/>
      <c r="C366" s="24"/>
      <c r="D366" s="41"/>
    </row>
    <row r="367">
      <c r="A367" s="24"/>
      <c r="B367" s="24"/>
      <c r="C367" s="24"/>
      <c r="D367" s="41"/>
    </row>
    <row r="368">
      <c r="A368" s="24"/>
      <c r="B368" s="24"/>
      <c r="C368" s="24"/>
      <c r="D368" s="41"/>
    </row>
    <row r="369">
      <c r="A369" s="24"/>
      <c r="B369" s="24"/>
      <c r="C369" s="24"/>
      <c r="D369" s="41"/>
    </row>
    <row r="370">
      <c r="A370" s="24"/>
      <c r="B370" s="24"/>
      <c r="C370" s="24"/>
      <c r="D370" s="41"/>
    </row>
    <row r="371">
      <c r="A371" s="24"/>
      <c r="B371" s="24"/>
      <c r="C371" s="24"/>
      <c r="D371" s="41"/>
    </row>
    <row r="372">
      <c r="A372" s="24"/>
      <c r="B372" s="24"/>
      <c r="C372" s="24"/>
      <c r="D372" s="41"/>
    </row>
    <row r="373">
      <c r="A373" s="24"/>
      <c r="B373" s="24"/>
      <c r="C373" s="24"/>
      <c r="D373" s="41"/>
    </row>
    <row r="374">
      <c r="A374" s="24"/>
      <c r="B374" s="24"/>
      <c r="C374" s="24"/>
      <c r="D374" s="41"/>
    </row>
    <row r="375">
      <c r="A375" s="24"/>
      <c r="B375" s="24"/>
      <c r="C375" s="24"/>
      <c r="D375" s="41"/>
    </row>
    <row r="376">
      <c r="A376" s="24"/>
      <c r="B376" s="24"/>
      <c r="C376" s="24"/>
      <c r="D376" s="41"/>
    </row>
    <row r="377">
      <c r="A377" s="24"/>
      <c r="B377" s="24"/>
      <c r="C377" s="24"/>
      <c r="D377" s="41"/>
    </row>
    <row r="378">
      <c r="A378" s="24"/>
      <c r="B378" s="24"/>
      <c r="C378" s="24"/>
      <c r="D378" s="41"/>
    </row>
    <row r="379">
      <c r="A379" s="24"/>
      <c r="B379" s="24"/>
      <c r="C379" s="24"/>
      <c r="D379" s="41"/>
    </row>
    <row r="380">
      <c r="A380" s="24"/>
      <c r="B380" s="24"/>
      <c r="C380" s="24"/>
      <c r="D380" s="41"/>
    </row>
    <row r="381">
      <c r="A381" s="24"/>
      <c r="B381" s="24"/>
      <c r="C381" s="24"/>
      <c r="D381" s="41"/>
    </row>
    <row r="382">
      <c r="A382" s="24"/>
      <c r="B382" s="24"/>
      <c r="C382" s="24"/>
      <c r="D382" s="41"/>
    </row>
    <row r="383">
      <c r="A383" s="24"/>
      <c r="B383" s="24"/>
      <c r="C383" s="24"/>
      <c r="D383" s="41"/>
    </row>
    <row r="384">
      <c r="A384" s="24"/>
      <c r="B384" s="24"/>
      <c r="C384" s="24"/>
      <c r="D384" s="41"/>
    </row>
    <row r="385">
      <c r="A385" s="24"/>
      <c r="B385" s="24"/>
      <c r="C385" s="24"/>
      <c r="D385" s="41"/>
    </row>
    <row r="386">
      <c r="A386" s="24"/>
      <c r="B386" s="24"/>
      <c r="C386" s="24"/>
      <c r="D386" s="41"/>
    </row>
    <row r="387">
      <c r="A387" s="24"/>
      <c r="B387" s="24"/>
      <c r="C387" s="24"/>
      <c r="D387" s="41"/>
    </row>
    <row r="388">
      <c r="A388" s="24"/>
      <c r="B388" s="24"/>
      <c r="C388" s="24"/>
      <c r="D388" s="41"/>
    </row>
    <row r="389">
      <c r="A389" s="24"/>
      <c r="B389" s="24"/>
      <c r="C389" s="24"/>
      <c r="D389" s="41"/>
    </row>
    <row r="390">
      <c r="A390" s="24"/>
      <c r="B390" s="24"/>
      <c r="C390" s="24"/>
      <c r="D390" s="41"/>
    </row>
    <row r="391">
      <c r="A391" s="24"/>
      <c r="B391" s="24"/>
      <c r="C391" s="24"/>
      <c r="D391" s="41"/>
    </row>
    <row r="392">
      <c r="A392" s="24"/>
      <c r="B392" s="24"/>
      <c r="C392" s="24"/>
      <c r="D392" s="41"/>
    </row>
    <row r="393">
      <c r="A393" s="24"/>
      <c r="B393" s="24"/>
      <c r="C393" s="24"/>
      <c r="D393" s="41"/>
    </row>
    <row r="394">
      <c r="A394" s="24"/>
      <c r="B394" s="24"/>
      <c r="C394" s="24"/>
      <c r="D394" s="41"/>
    </row>
    <row r="395">
      <c r="A395" s="24"/>
      <c r="B395" s="24"/>
      <c r="C395" s="24"/>
      <c r="D395" s="41"/>
    </row>
    <row r="396">
      <c r="A396" s="24"/>
      <c r="B396" s="24"/>
      <c r="C396" s="24"/>
      <c r="D396" s="41"/>
    </row>
    <row r="397">
      <c r="A397" s="24"/>
      <c r="B397" s="24"/>
      <c r="C397" s="24"/>
      <c r="D397" s="41"/>
    </row>
    <row r="398">
      <c r="A398" s="24"/>
      <c r="B398" s="24"/>
      <c r="C398" s="24"/>
      <c r="D398" s="41"/>
    </row>
    <row r="399">
      <c r="A399" s="24"/>
      <c r="B399" s="24"/>
      <c r="C399" s="24"/>
      <c r="D399" s="41"/>
    </row>
    <row r="400">
      <c r="A400" s="24"/>
      <c r="B400" s="24"/>
      <c r="C400" s="24"/>
      <c r="D400" s="41"/>
    </row>
    <row r="401">
      <c r="A401" s="24"/>
      <c r="B401" s="24"/>
      <c r="C401" s="24"/>
      <c r="D401" s="41"/>
    </row>
    <row r="402">
      <c r="A402" s="24"/>
      <c r="B402" s="24"/>
      <c r="C402" s="24"/>
      <c r="D402" s="41"/>
    </row>
    <row r="403">
      <c r="A403" s="24"/>
      <c r="B403" s="24"/>
      <c r="C403" s="24"/>
      <c r="D403" s="41"/>
    </row>
    <row r="404">
      <c r="A404" s="24"/>
      <c r="B404" s="24"/>
      <c r="C404" s="24"/>
      <c r="D404" s="41"/>
    </row>
    <row r="405">
      <c r="A405" s="24"/>
      <c r="B405" s="24"/>
      <c r="C405" s="24"/>
      <c r="D405" s="41"/>
    </row>
    <row r="406">
      <c r="A406" s="24"/>
      <c r="B406" s="24"/>
      <c r="C406" s="24"/>
      <c r="D406" s="41"/>
    </row>
    <row r="407">
      <c r="A407" s="24"/>
      <c r="B407" s="24"/>
      <c r="C407" s="24"/>
      <c r="D407" s="41"/>
    </row>
    <row r="408">
      <c r="A408" s="24"/>
      <c r="B408" s="24"/>
      <c r="C408" s="24"/>
      <c r="D408" s="41"/>
    </row>
    <row r="409">
      <c r="A409" s="24"/>
      <c r="B409" s="24"/>
      <c r="C409" s="24"/>
      <c r="D409" s="41"/>
    </row>
    <row r="410">
      <c r="A410" s="24"/>
      <c r="B410" s="24"/>
      <c r="C410" s="24"/>
      <c r="D410" s="41"/>
    </row>
    <row r="411">
      <c r="A411" s="24"/>
      <c r="B411" s="24"/>
      <c r="C411" s="24"/>
      <c r="D411" s="41"/>
    </row>
    <row r="412">
      <c r="A412" s="24"/>
      <c r="B412" s="24"/>
      <c r="C412" s="24"/>
      <c r="D412" s="41"/>
    </row>
    <row r="413">
      <c r="A413" s="24"/>
      <c r="B413" s="24"/>
      <c r="C413" s="24"/>
      <c r="D413" s="41"/>
    </row>
    <row r="414">
      <c r="A414" s="24"/>
      <c r="B414" s="24"/>
      <c r="C414" s="24"/>
      <c r="D414" s="41"/>
    </row>
    <row r="415">
      <c r="A415" s="24"/>
      <c r="B415" s="24"/>
      <c r="C415" s="24"/>
      <c r="D415" s="41"/>
    </row>
    <row r="416">
      <c r="A416" s="24"/>
      <c r="B416" s="24"/>
      <c r="C416" s="24"/>
      <c r="D416" s="41"/>
    </row>
    <row r="417">
      <c r="A417" s="24"/>
      <c r="B417" s="24"/>
      <c r="C417" s="24"/>
      <c r="D417" s="41"/>
    </row>
    <row r="418">
      <c r="A418" s="24"/>
      <c r="B418" s="24"/>
      <c r="C418" s="24"/>
      <c r="D418" s="41"/>
    </row>
    <row r="419">
      <c r="A419" s="24"/>
      <c r="B419" s="24"/>
      <c r="C419" s="24"/>
      <c r="D419" s="41"/>
    </row>
    <row r="420">
      <c r="A420" s="24"/>
      <c r="B420" s="24"/>
      <c r="C420" s="24"/>
      <c r="D420" s="41"/>
    </row>
    <row r="421">
      <c r="A421" s="24"/>
      <c r="B421" s="24"/>
      <c r="C421" s="24"/>
      <c r="D421" s="41"/>
    </row>
    <row r="422">
      <c r="A422" s="24"/>
      <c r="B422" s="24"/>
      <c r="C422" s="24"/>
      <c r="D422" s="41"/>
    </row>
    <row r="423">
      <c r="A423" s="24"/>
      <c r="B423" s="24"/>
      <c r="C423" s="24"/>
      <c r="D423" s="41"/>
    </row>
    <row r="424">
      <c r="A424" s="24"/>
      <c r="B424" s="24"/>
      <c r="C424" s="24"/>
      <c r="D424" s="41"/>
    </row>
    <row r="425">
      <c r="A425" s="24"/>
      <c r="B425" s="24"/>
      <c r="C425" s="24"/>
      <c r="D425" s="41"/>
    </row>
    <row r="426">
      <c r="A426" s="24"/>
      <c r="B426" s="24"/>
      <c r="C426" s="24"/>
      <c r="D426" s="41"/>
    </row>
    <row r="427">
      <c r="A427" s="24"/>
      <c r="B427" s="24"/>
      <c r="C427" s="24"/>
      <c r="D427" s="41"/>
    </row>
    <row r="428">
      <c r="A428" s="24"/>
      <c r="B428" s="24"/>
      <c r="C428" s="24"/>
      <c r="D428" s="41"/>
    </row>
    <row r="429">
      <c r="A429" s="24"/>
      <c r="B429" s="24"/>
      <c r="C429" s="24"/>
      <c r="D429" s="41"/>
    </row>
    <row r="430">
      <c r="A430" s="24"/>
      <c r="B430" s="24"/>
      <c r="C430" s="24"/>
      <c r="D430" s="41"/>
    </row>
    <row r="431">
      <c r="A431" s="24"/>
      <c r="B431" s="24"/>
      <c r="C431" s="24"/>
      <c r="D431" s="41"/>
    </row>
    <row r="432">
      <c r="A432" s="24"/>
      <c r="B432" s="24"/>
      <c r="C432" s="24"/>
      <c r="D432" s="41"/>
    </row>
    <row r="433">
      <c r="A433" s="24"/>
      <c r="B433" s="24"/>
      <c r="C433" s="24"/>
      <c r="D433" s="41"/>
    </row>
    <row r="434">
      <c r="A434" s="24"/>
      <c r="B434" s="24"/>
      <c r="C434" s="24"/>
      <c r="D434" s="41"/>
    </row>
    <row r="435">
      <c r="A435" s="24"/>
      <c r="B435" s="24"/>
      <c r="C435" s="24"/>
      <c r="D435" s="41"/>
    </row>
    <row r="436">
      <c r="A436" s="24"/>
      <c r="B436" s="24"/>
      <c r="C436" s="24"/>
      <c r="D436" s="41"/>
    </row>
    <row r="437">
      <c r="A437" s="24"/>
      <c r="B437" s="24"/>
      <c r="C437" s="24"/>
      <c r="D437" s="41"/>
    </row>
    <row r="438">
      <c r="A438" s="24"/>
      <c r="B438" s="24"/>
      <c r="C438" s="24"/>
      <c r="D438" s="41"/>
    </row>
    <row r="439">
      <c r="A439" s="24"/>
      <c r="B439" s="24"/>
      <c r="C439" s="24"/>
      <c r="D439" s="41"/>
    </row>
    <row r="440">
      <c r="A440" s="24"/>
      <c r="B440" s="24"/>
      <c r="C440" s="24"/>
      <c r="D440" s="41"/>
    </row>
    <row r="441">
      <c r="A441" s="24"/>
      <c r="B441" s="24"/>
      <c r="C441" s="24"/>
      <c r="D441" s="41"/>
    </row>
    <row r="442">
      <c r="A442" s="24"/>
      <c r="B442" s="24"/>
      <c r="C442" s="24"/>
      <c r="D442" s="41"/>
    </row>
    <row r="443">
      <c r="A443" s="24"/>
      <c r="B443" s="24"/>
      <c r="C443" s="24"/>
      <c r="D443" s="41"/>
    </row>
    <row r="444">
      <c r="A444" s="24"/>
      <c r="B444" s="24"/>
      <c r="C444" s="24"/>
      <c r="D444" s="41"/>
    </row>
    <row r="445">
      <c r="A445" s="24"/>
      <c r="B445" s="24"/>
      <c r="C445" s="24"/>
      <c r="D445" s="41"/>
    </row>
    <row r="446">
      <c r="A446" s="24"/>
      <c r="B446" s="24"/>
      <c r="C446" s="24"/>
      <c r="D446" s="41"/>
    </row>
    <row r="447">
      <c r="A447" s="24"/>
      <c r="B447" s="24"/>
      <c r="C447" s="24"/>
      <c r="D447" s="41"/>
    </row>
    <row r="448">
      <c r="A448" s="24"/>
      <c r="B448" s="24"/>
      <c r="C448" s="24"/>
      <c r="D448" s="41"/>
    </row>
    <row r="449">
      <c r="A449" s="24"/>
      <c r="B449" s="24"/>
      <c r="C449" s="24"/>
      <c r="D449" s="41"/>
    </row>
    <row r="450">
      <c r="A450" s="24"/>
      <c r="B450" s="24"/>
      <c r="C450" s="24"/>
      <c r="D450" s="41"/>
    </row>
    <row r="451">
      <c r="A451" s="24"/>
      <c r="B451" s="24"/>
      <c r="C451" s="24"/>
      <c r="D451" s="41"/>
    </row>
    <row r="452">
      <c r="A452" s="24"/>
      <c r="B452" s="24"/>
      <c r="C452" s="24"/>
      <c r="D452" s="41"/>
    </row>
    <row r="453">
      <c r="A453" s="24"/>
      <c r="B453" s="24"/>
      <c r="C453" s="24"/>
      <c r="D453" s="41"/>
    </row>
    <row r="454">
      <c r="A454" s="24"/>
      <c r="B454" s="24"/>
      <c r="C454" s="24"/>
      <c r="D454" s="41"/>
    </row>
    <row r="455">
      <c r="A455" s="24"/>
      <c r="B455" s="24"/>
      <c r="C455" s="24"/>
      <c r="D455" s="41"/>
    </row>
    <row r="456">
      <c r="A456" s="24"/>
      <c r="B456" s="24"/>
      <c r="C456" s="24"/>
      <c r="D456" s="41"/>
    </row>
    <row r="457">
      <c r="A457" s="24"/>
      <c r="B457" s="24"/>
      <c r="C457" s="24"/>
      <c r="D457" s="41"/>
    </row>
    <row r="458">
      <c r="A458" s="24"/>
      <c r="B458" s="24"/>
      <c r="C458" s="24"/>
      <c r="D458" s="41"/>
    </row>
    <row r="459">
      <c r="A459" s="24"/>
      <c r="B459" s="24"/>
      <c r="C459" s="24"/>
      <c r="D459" s="41"/>
    </row>
    <row r="460">
      <c r="A460" s="24"/>
      <c r="B460" s="24"/>
      <c r="C460" s="24"/>
      <c r="D460" s="41"/>
    </row>
    <row r="461">
      <c r="A461" s="24"/>
      <c r="B461" s="24"/>
      <c r="C461" s="24"/>
      <c r="D461" s="41"/>
    </row>
    <row r="462">
      <c r="A462" s="24"/>
      <c r="B462" s="24"/>
      <c r="C462" s="24"/>
      <c r="D462" s="41"/>
    </row>
    <row r="463">
      <c r="A463" s="24"/>
      <c r="B463" s="24"/>
      <c r="C463" s="24"/>
      <c r="D463" s="41"/>
    </row>
    <row r="464">
      <c r="A464" s="24"/>
      <c r="B464" s="24"/>
      <c r="C464" s="24"/>
      <c r="D464" s="41"/>
    </row>
    <row r="465">
      <c r="A465" s="24"/>
      <c r="B465" s="24"/>
      <c r="C465" s="24"/>
      <c r="D465" s="41"/>
    </row>
    <row r="466">
      <c r="A466" s="24"/>
      <c r="B466" s="24"/>
      <c r="C466" s="24"/>
      <c r="D466" s="41"/>
    </row>
    <row r="467">
      <c r="A467" s="24"/>
      <c r="B467" s="24"/>
      <c r="C467" s="24"/>
      <c r="D467" s="41"/>
    </row>
    <row r="468">
      <c r="A468" s="24"/>
      <c r="B468" s="24"/>
      <c r="C468" s="24"/>
      <c r="D468" s="41"/>
    </row>
    <row r="469">
      <c r="A469" s="24"/>
      <c r="B469" s="24"/>
      <c r="C469" s="24"/>
      <c r="D469" s="41"/>
    </row>
    <row r="470">
      <c r="A470" s="24"/>
      <c r="B470" s="24"/>
      <c r="C470" s="24"/>
      <c r="D470" s="41"/>
    </row>
    <row r="471">
      <c r="A471" s="24"/>
      <c r="B471" s="24"/>
      <c r="C471" s="24"/>
      <c r="D471" s="41"/>
    </row>
    <row r="472">
      <c r="A472" s="24"/>
      <c r="B472" s="24"/>
      <c r="C472" s="24"/>
      <c r="D472" s="41"/>
    </row>
    <row r="473">
      <c r="A473" s="24"/>
      <c r="B473" s="24"/>
      <c r="C473" s="24"/>
      <c r="D473" s="41"/>
    </row>
    <row r="474">
      <c r="A474" s="24"/>
      <c r="B474" s="24"/>
      <c r="C474" s="24"/>
      <c r="D474" s="41"/>
    </row>
    <row r="475">
      <c r="A475" s="24"/>
      <c r="B475" s="24"/>
      <c r="C475" s="24"/>
      <c r="D475" s="41"/>
    </row>
    <row r="476">
      <c r="A476" s="24"/>
      <c r="B476" s="24"/>
      <c r="C476" s="24"/>
      <c r="D476" s="41"/>
    </row>
    <row r="477">
      <c r="A477" s="24"/>
      <c r="B477" s="24"/>
      <c r="C477" s="24"/>
      <c r="D477" s="41"/>
    </row>
    <row r="478">
      <c r="A478" s="24"/>
      <c r="B478" s="24"/>
      <c r="C478" s="24"/>
      <c r="D478" s="41"/>
    </row>
    <row r="479">
      <c r="A479" s="24"/>
      <c r="B479" s="24"/>
      <c r="C479" s="24"/>
      <c r="D479" s="41"/>
    </row>
    <row r="480">
      <c r="A480" s="24"/>
      <c r="B480" s="24"/>
      <c r="C480" s="24"/>
      <c r="D480" s="41"/>
    </row>
    <row r="481">
      <c r="A481" s="24"/>
      <c r="B481" s="24"/>
      <c r="C481" s="24"/>
      <c r="D481" s="41"/>
    </row>
    <row r="482">
      <c r="A482" s="24"/>
      <c r="B482" s="24"/>
      <c r="C482" s="24"/>
      <c r="D482" s="41"/>
    </row>
    <row r="483">
      <c r="A483" s="24"/>
      <c r="B483" s="24"/>
      <c r="C483" s="24"/>
      <c r="D483" s="41"/>
    </row>
    <row r="484">
      <c r="A484" s="24"/>
      <c r="B484" s="24"/>
      <c r="C484" s="24"/>
      <c r="D484" s="41"/>
    </row>
    <row r="485">
      <c r="A485" s="24"/>
      <c r="B485" s="24"/>
      <c r="C485" s="24"/>
      <c r="D485" s="41"/>
    </row>
    <row r="486">
      <c r="A486" s="24"/>
      <c r="B486" s="24"/>
      <c r="C486" s="24"/>
      <c r="D486" s="41"/>
    </row>
    <row r="487">
      <c r="A487" s="24"/>
      <c r="B487" s="24"/>
      <c r="C487" s="24"/>
      <c r="D487" s="41"/>
    </row>
    <row r="488">
      <c r="A488" s="24"/>
      <c r="B488" s="24"/>
      <c r="C488" s="24"/>
      <c r="D488" s="41"/>
    </row>
    <row r="489">
      <c r="A489" s="24"/>
      <c r="B489" s="24"/>
      <c r="C489" s="24"/>
      <c r="D489" s="41"/>
    </row>
    <row r="490">
      <c r="A490" s="24"/>
      <c r="B490" s="24"/>
      <c r="C490" s="24"/>
      <c r="D490" s="41"/>
    </row>
    <row r="491">
      <c r="A491" s="24"/>
      <c r="B491" s="24"/>
      <c r="C491" s="24"/>
      <c r="D491" s="41"/>
    </row>
    <row r="492">
      <c r="A492" s="24"/>
      <c r="B492" s="24"/>
      <c r="C492" s="24"/>
      <c r="D492" s="41"/>
    </row>
    <row r="493">
      <c r="A493" s="24"/>
      <c r="B493" s="24"/>
      <c r="C493" s="24"/>
      <c r="D493" s="41"/>
    </row>
    <row r="494">
      <c r="A494" s="24"/>
      <c r="B494" s="24"/>
      <c r="C494" s="24"/>
      <c r="D494" s="41"/>
    </row>
    <row r="495">
      <c r="A495" s="24"/>
      <c r="B495" s="24"/>
      <c r="C495" s="24"/>
      <c r="D495" s="41"/>
    </row>
    <row r="496">
      <c r="A496" s="24"/>
      <c r="B496" s="24"/>
      <c r="C496" s="24"/>
      <c r="D496" s="41"/>
    </row>
    <row r="497">
      <c r="A497" s="24"/>
      <c r="B497" s="24"/>
      <c r="C497" s="24"/>
      <c r="D497" s="41"/>
    </row>
    <row r="498">
      <c r="A498" s="24"/>
      <c r="B498" s="24"/>
      <c r="C498" s="24"/>
      <c r="D498" s="41"/>
    </row>
    <row r="499">
      <c r="A499" s="24"/>
      <c r="B499" s="24"/>
      <c r="C499" s="24"/>
      <c r="D499" s="41"/>
    </row>
    <row r="500">
      <c r="A500" s="24"/>
      <c r="B500" s="24"/>
      <c r="C500" s="24"/>
      <c r="D500" s="41"/>
    </row>
    <row r="501">
      <c r="A501" s="24"/>
      <c r="B501" s="24"/>
      <c r="C501" s="24"/>
      <c r="D501" s="41"/>
    </row>
    <row r="502">
      <c r="A502" s="24"/>
      <c r="B502" s="24"/>
      <c r="C502" s="24"/>
      <c r="D502" s="41"/>
    </row>
    <row r="503">
      <c r="A503" s="24"/>
      <c r="B503" s="24"/>
      <c r="C503" s="24"/>
      <c r="D503" s="41"/>
    </row>
    <row r="504">
      <c r="A504" s="24"/>
      <c r="B504" s="24"/>
      <c r="C504" s="24"/>
      <c r="D504" s="41"/>
    </row>
    <row r="505">
      <c r="A505" s="24"/>
      <c r="B505" s="24"/>
      <c r="C505" s="24"/>
      <c r="D505" s="41"/>
    </row>
    <row r="506">
      <c r="A506" s="24"/>
      <c r="B506" s="24"/>
      <c r="C506" s="24"/>
      <c r="D506" s="41"/>
    </row>
    <row r="507">
      <c r="A507" s="24"/>
      <c r="B507" s="24"/>
      <c r="C507" s="24"/>
      <c r="D507" s="41"/>
    </row>
    <row r="508">
      <c r="A508" s="24"/>
      <c r="B508" s="24"/>
      <c r="C508" s="24"/>
      <c r="D508" s="41"/>
    </row>
    <row r="509">
      <c r="A509" s="24"/>
      <c r="B509" s="24"/>
      <c r="C509" s="24"/>
      <c r="D509" s="41"/>
    </row>
    <row r="510">
      <c r="A510" s="24"/>
      <c r="B510" s="24"/>
      <c r="C510" s="24"/>
      <c r="D510" s="41"/>
    </row>
    <row r="511">
      <c r="A511" s="24"/>
      <c r="B511" s="24"/>
      <c r="C511" s="24"/>
      <c r="D511" s="41"/>
    </row>
    <row r="512">
      <c r="A512" s="24"/>
      <c r="B512" s="24"/>
      <c r="C512" s="24"/>
      <c r="D512" s="41"/>
    </row>
    <row r="513">
      <c r="A513" s="24"/>
      <c r="B513" s="24"/>
      <c r="C513" s="24"/>
      <c r="D513" s="41"/>
    </row>
    <row r="514">
      <c r="A514" s="24"/>
      <c r="B514" s="24"/>
      <c r="C514" s="24"/>
      <c r="D514" s="41"/>
    </row>
    <row r="515">
      <c r="A515" s="24"/>
      <c r="B515" s="24"/>
      <c r="C515" s="24"/>
      <c r="D515" s="41"/>
    </row>
    <row r="516">
      <c r="A516" s="24"/>
      <c r="B516" s="24"/>
      <c r="C516" s="24"/>
      <c r="D516" s="41"/>
    </row>
    <row r="517">
      <c r="A517" s="24"/>
      <c r="B517" s="24"/>
      <c r="C517" s="24"/>
      <c r="D517" s="41"/>
    </row>
    <row r="518">
      <c r="A518" s="24"/>
      <c r="B518" s="24"/>
      <c r="C518" s="24"/>
      <c r="D518" s="41"/>
    </row>
    <row r="519">
      <c r="A519" s="24"/>
      <c r="B519" s="24"/>
      <c r="C519" s="24"/>
      <c r="D519" s="41"/>
    </row>
    <row r="520">
      <c r="A520" s="24"/>
      <c r="B520" s="24"/>
      <c r="C520" s="24"/>
      <c r="D520" s="41"/>
    </row>
    <row r="521">
      <c r="A521" s="24"/>
      <c r="B521" s="24"/>
      <c r="C521" s="24"/>
      <c r="D521" s="41"/>
    </row>
    <row r="522">
      <c r="A522" s="24"/>
      <c r="B522" s="24"/>
      <c r="C522" s="24"/>
      <c r="D522" s="41"/>
    </row>
    <row r="523">
      <c r="A523" s="24"/>
      <c r="B523" s="24"/>
      <c r="C523" s="24"/>
      <c r="D523" s="41"/>
    </row>
    <row r="524">
      <c r="A524" s="24"/>
      <c r="B524" s="24"/>
      <c r="C524" s="24"/>
      <c r="D524" s="41"/>
    </row>
    <row r="525">
      <c r="A525" s="24"/>
      <c r="B525" s="24"/>
      <c r="C525" s="24"/>
      <c r="D525" s="41"/>
    </row>
    <row r="526">
      <c r="A526" s="24"/>
      <c r="B526" s="24"/>
      <c r="C526" s="24"/>
      <c r="D526" s="41"/>
    </row>
    <row r="527">
      <c r="A527" s="24"/>
      <c r="B527" s="24"/>
      <c r="C527" s="24"/>
      <c r="D527" s="41"/>
    </row>
    <row r="528">
      <c r="A528" s="24"/>
      <c r="B528" s="24"/>
      <c r="C528" s="24"/>
      <c r="D528" s="41"/>
    </row>
    <row r="529">
      <c r="A529" s="24"/>
      <c r="B529" s="24"/>
      <c r="C529" s="24"/>
      <c r="D529" s="41"/>
    </row>
    <row r="530">
      <c r="A530" s="24"/>
      <c r="B530" s="24"/>
      <c r="C530" s="24"/>
      <c r="D530" s="41"/>
    </row>
    <row r="531">
      <c r="A531" s="24"/>
      <c r="B531" s="24"/>
      <c r="C531" s="24"/>
      <c r="D531" s="41"/>
    </row>
    <row r="532">
      <c r="A532" s="24"/>
      <c r="B532" s="24"/>
      <c r="C532" s="24"/>
      <c r="D532" s="41"/>
    </row>
    <row r="533">
      <c r="A533" s="24"/>
      <c r="B533" s="24"/>
      <c r="C533" s="24"/>
      <c r="D533" s="41"/>
    </row>
    <row r="534">
      <c r="A534" s="24"/>
      <c r="B534" s="24"/>
      <c r="C534" s="24"/>
      <c r="D534" s="41"/>
    </row>
    <row r="535">
      <c r="A535" s="24"/>
      <c r="B535" s="24"/>
      <c r="C535" s="24"/>
      <c r="D535" s="41"/>
    </row>
    <row r="536">
      <c r="A536" s="24"/>
      <c r="B536" s="24"/>
      <c r="C536" s="24"/>
      <c r="D536" s="41"/>
    </row>
    <row r="537">
      <c r="A537" s="24"/>
      <c r="B537" s="24"/>
      <c r="C537" s="24"/>
      <c r="D537" s="41"/>
    </row>
    <row r="538">
      <c r="A538" s="24"/>
      <c r="B538" s="24"/>
      <c r="C538" s="24"/>
      <c r="D538" s="41"/>
    </row>
    <row r="539">
      <c r="A539" s="24"/>
      <c r="B539" s="24"/>
      <c r="C539" s="24"/>
      <c r="D539" s="41"/>
    </row>
    <row r="540">
      <c r="A540" s="24"/>
      <c r="B540" s="24"/>
      <c r="C540" s="24"/>
      <c r="D540" s="41"/>
    </row>
    <row r="541">
      <c r="A541" s="24"/>
      <c r="B541" s="24"/>
      <c r="C541" s="24"/>
      <c r="D541" s="41"/>
    </row>
    <row r="542">
      <c r="A542" s="24"/>
      <c r="B542" s="24"/>
      <c r="C542" s="24"/>
      <c r="D542" s="41"/>
    </row>
    <row r="543">
      <c r="A543" s="24"/>
      <c r="B543" s="24"/>
      <c r="C543" s="24"/>
      <c r="D543" s="41"/>
    </row>
    <row r="544">
      <c r="A544" s="24"/>
      <c r="B544" s="24"/>
      <c r="C544" s="24"/>
      <c r="D544" s="41"/>
    </row>
    <row r="545">
      <c r="A545" s="24"/>
      <c r="B545" s="24"/>
      <c r="C545" s="24"/>
      <c r="D545" s="41"/>
    </row>
    <row r="546">
      <c r="A546" s="24"/>
      <c r="B546" s="24"/>
      <c r="C546" s="24"/>
      <c r="D546" s="41"/>
    </row>
    <row r="547">
      <c r="A547" s="24"/>
      <c r="B547" s="24"/>
      <c r="C547" s="24"/>
      <c r="D547" s="41"/>
    </row>
    <row r="548">
      <c r="A548" s="24"/>
      <c r="B548" s="24"/>
      <c r="C548" s="24"/>
      <c r="D548" s="41"/>
    </row>
    <row r="549">
      <c r="A549" s="24"/>
      <c r="B549" s="24"/>
      <c r="C549" s="24"/>
      <c r="D549" s="41"/>
    </row>
    <row r="550">
      <c r="A550" s="24"/>
      <c r="B550" s="24"/>
      <c r="C550" s="24"/>
      <c r="D550" s="41"/>
    </row>
    <row r="551">
      <c r="A551" s="24"/>
      <c r="B551" s="24"/>
      <c r="C551" s="24"/>
      <c r="D551" s="41"/>
    </row>
    <row r="552">
      <c r="A552" s="24"/>
      <c r="B552" s="24"/>
      <c r="C552" s="24"/>
      <c r="D552" s="41"/>
    </row>
    <row r="553">
      <c r="A553" s="24"/>
      <c r="B553" s="24"/>
      <c r="C553" s="24"/>
      <c r="D553" s="41"/>
    </row>
    <row r="554">
      <c r="A554" s="24"/>
      <c r="B554" s="24"/>
      <c r="C554" s="24"/>
      <c r="D554" s="41"/>
    </row>
    <row r="555">
      <c r="A555" s="24"/>
      <c r="B555" s="24"/>
      <c r="C555" s="24"/>
      <c r="D555" s="41"/>
    </row>
    <row r="556">
      <c r="A556" s="24"/>
      <c r="B556" s="24"/>
      <c r="C556" s="24"/>
      <c r="D556" s="41"/>
    </row>
    <row r="557">
      <c r="A557" s="24"/>
      <c r="B557" s="24"/>
      <c r="C557" s="24"/>
      <c r="D557" s="41"/>
    </row>
    <row r="558">
      <c r="A558" s="24"/>
      <c r="B558" s="24"/>
      <c r="C558" s="24"/>
      <c r="D558" s="41"/>
    </row>
    <row r="559">
      <c r="A559" s="24"/>
      <c r="B559" s="24"/>
      <c r="C559" s="24"/>
      <c r="D559" s="41"/>
    </row>
    <row r="560">
      <c r="A560" s="24"/>
      <c r="B560" s="24"/>
      <c r="C560" s="24"/>
      <c r="D560" s="41"/>
    </row>
    <row r="561">
      <c r="A561" s="24"/>
      <c r="B561" s="24"/>
      <c r="C561" s="24"/>
      <c r="D561" s="41"/>
    </row>
    <row r="562">
      <c r="A562" s="24"/>
      <c r="B562" s="24"/>
      <c r="C562" s="24"/>
      <c r="D562" s="41"/>
    </row>
    <row r="563">
      <c r="A563" s="24"/>
      <c r="B563" s="24"/>
      <c r="C563" s="24"/>
      <c r="D563" s="41"/>
    </row>
    <row r="564">
      <c r="A564" s="24"/>
      <c r="B564" s="24"/>
      <c r="C564" s="24"/>
      <c r="D564" s="41"/>
    </row>
    <row r="565">
      <c r="A565" s="24"/>
      <c r="B565" s="24"/>
      <c r="C565" s="24"/>
      <c r="D565" s="41"/>
    </row>
    <row r="566">
      <c r="A566" s="24"/>
      <c r="B566" s="24"/>
      <c r="C566" s="24"/>
      <c r="D566" s="41"/>
    </row>
    <row r="567">
      <c r="A567" s="24"/>
      <c r="B567" s="24"/>
      <c r="C567" s="24"/>
      <c r="D567" s="41"/>
    </row>
    <row r="568">
      <c r="A568" s="24"/>
      <c r="B568" s="24"/>
      <c r="C568" s="24"/>
      <c r="D568" s="41"/>
    </row>
    <row r="569">
      <c r="A569" s="24"/>
      <c r="B569" s="24"/>
      <c r="C569" s="24"/>
      <c r="D569" s="41"/>
    </row>
    <row r="570">
      <c r="A570" s="24"/>
      <c r="B570" s="24"/>
      <c r="C570" s="24"/>
      <c r="D570" s="41"/>
    </row>
    <row r="571">
      <c r="A571" s="24"/>
      <c r="B571" s="24"/>
      <c r="C571" s="24"/>
      <c r="D571" s="41"/>
    </row>
    <row r="572">
      <c r="A572" s="24"/>
      <c r="B572" s="24"/>
      <c r="C572" s="24"/>
      <c r="D572" s="41"/>
    </row>
    <row r="573">
      <c r="A573" s="24"/>
      <c r="B573" s="24"/>
      <c r="C573" s="24"/>
      <c r="D573" s="41"/>
    </row>
    <row r="574">
      <c r="A574" s="24"/>
      <c r="B574" s="24"/>
      <c r="C574" s="24"/>
      <c r="D574" s="41"/>
    </row>
    <row r="575">
      <c r="A575" s="24"/>
      <c r="B575" s="24"/>
      <c r="C575" s="24"/>
      <c r="D575" s="41"/>
    </row>
    <row r="576">
      <c r="A576" s="24"/>
      <c r="B576" s="24"/>
      <c r="C576" s="24"/>
      <c r="D576" s="41"/>
    </row>
    <row r="577">
      <c r="A577" s="24"/>
      <c r="B577" s="24"/>
      <c r="C577" s="24"/>
      <c r="D577" s="41"/>
    </row>
    <row r="578">
      <c r="A578" s="24"/>
      <c r="B578" s="24"/>
      <c r="C578" s="24"/>
      <c r="D578" s="41"/>
    </row>
    <row r="579">
      <c r="A579" s="24"/>
      <c r="B579" s="24"/>
      <c r="C579" s="24"/>
      <c r="D579" s="41"/>
    </row>
    <row r="580">
      <c r="A580" s="24"/>
      <c r="B580" s="24"/>
      <c r="C580" s="24"/>
      <c r="D580" s="41"/>
    </row>
    <row r="581">
      <c r="A581" s="24"/>
      <c r="B581" s="24"/>
      <c r="C581" s="24"/>
      <c r="D581" s="41"/>
    </row>
    <row r="582">
      <c r="A582" s="24"/>
      <c r="B582" s="24"/>
      <c r="C582" s="24"/>
      <c r="D582" s="41"/>
    </row>
    <row r="583">
      <c r="A583" s="24"/>
      <c r="B583" s="24"/>
      <c r="C583" s="24"/>
      <c r="D583" s="41"/>
    </row>
    <row r="584">
      <c r="A584" s="24"/>
      <c r="B584" s="24"/>
      <c r="C584" s="24"/>
      <c r="D584" s="41"/>
    </row>
    <row r="585">
      <c r="A585" s="24"/>
      <c r="B585" s="24"/>
      <c r="C585" s="24"/>
      <c r="D585" s="41"/>
    </row>
    <row r="586">
      <c r="A586" s="24"/>
      <c r="B586" s="24"/>
      <c r="C586" s="24"/>
      <c r="D586" s="41"/>
    </row>
    <row r="587">
      <c r="A587" s="24"/>
      <c r="B587" s="24"/>
      <c r="C587" s="24"/>
      <c r="D587" s="41"/>
    </row>
    <row r="588">
      <c r="A588" s="24"/>
      <c r="B588" s="24"/>
      <c r="C588" s="24"/>
      <c r="D588" s="41"/>
    </row>
    <row r="589">
      <c r="A589" s="24"/>
      <c r="B589" s="24"/>
      <c r="C589" s="24"/>
      <c r="D589" s="41"/>
    </row>
    <row r="590">
      <c r="A590" s="24"/>
      <c r="B590" s="24"/>
      <c r="C590" s="24"/>
      <c r="D590" s="41"/>
    </row>
    <row r="591">
      <c r="A591" s="24"/>
      <c r="B591" s="24"/>
      <c r="C591" s="24"/>
      <c r="D591" s="41"/>
    </row>
    <row r="592">
      <c r="A592" s="24"/>
      <c r="B592" s="24"/>
      <c r="C592" s="24"/>
      <c r="D592" s="41"/>
    </row>
    <row r="593">
      <c r="A593" s="24"/>
      <c r="B593" s="24"/>
      <c r="C593" s="24"/>
      <c r="D593" s="41"/>
    </row>
    <row r="594">
      <c r="A594" s="24"/>
      <c r="B594" s="24"/>
      <c r="C594" s="24"/>
      <c r="D594" s="41"/>
    </row>
    <row r="595">
      <c r="A595" s="24"/>
      <c r="B595" s="24"/>
      <c r="C595" s="24"/>
      <c r="D595" s="41"/>
    </row>
    <row r="596">
      <c r="A596" s="24"/>
      <c r="B596" s="24"/>
      <c r="C596" s="24"/>
      <c r="D596" s="41"/>
    </row>
    <row r="597">
      <c r="A597" s="24"/>
      <c r="B597" s="24"/>
      <c r="C597" s="24"/>
      <c r="D597" s="41"/>
    </row>
    <row r="598">
      <c r="A598" s="24"/>
      <c r="B598" s="24"/>
      <c r="C598" s="24"/>
      <c r="D598" s="41"/>
    </row>
    <row r="599">
      <c r="A599" s="24"/>
      <c r="B599" s="24"/>
      <c r="C599" s="24"/>
      <c r="D599" s="41"/>
    </row>
    <row r="600">
      <c r="A600" s="24"/>
      <c r="B600" s="24"/>
      <c r="C600" s="24"/>
      <c r="D600" s="41"/>
    </row>
    <row r="601">
      <c r="A601" s="24"/>
      <c r="B601" s="24"/>
      <c r="C601" s="24"/>
      <c r="D601" s="41"/>
    </row>
    <row r="602">
      <c r="A602" s="24"/>
      <c r="B602" s="24"/>
      <c r="C602" s="24"/>
      <c r="D602" s="41"/>
    </row>
    <row r="603">
      <c r="A603" s="24"/>
      <c r="B603" s="24"/>
      <c r="C603" s="24"/>
      <c r="D603" s="41"/>
    </row>
    <row r="604">
      <c r="A604" s="24"/>
      <c r="B604" s="24"/>
      <c r="C604" s="24"/>
      <c r="D604" s="41"/>
    </row>
    <row r="605">
      <c r="A605" s="24"/>
      <c r="B605" s="24"/>
      <c r="C605" s="24"/>
      <c r="D605" s="41"/>
    </row>
    <row r="606">
      <c r="A606" s="24"/>
      <c r="B606" s="24"/>
      <c r="C606" s="24"/>
      <c r="D606" s="41"/>
    </row>
    <row r="607">
      <c r="A607" s="24"/>
      <c r="B607" s="24"/>
      <c r="C607" s="24"/>
      <c r="D607" s="41"/>
    </row>
    <row r="608">
      <c r="A608" s="24"/>
      <c r="B608" s="24"/>
      <c r="C608" s="24"/>
      <c r="D608" s="41"/>
    </row>
    <row r="609">
      <c r="A609" s="24"/>
      <c r="B609" s="24"/>
      <c r="C609" s="24"/>
      <c r="D609" s="41"/>
    </row>
    <row r="610">
      <c r="A610" s="24"/>
      <c r="B610" s="24"/>
      <c r="C610" s="24"/>
      <c r="D610" s="41"/>
    </row>
    <row r="611">
      <c r="A611" s="24"/>
      <c r="B611" s="24"/>
      <c r="C611" s="24"/>
      <c r="D611" s="41"/>
    </row>
    <row r="612">
      <c r="A612" s="24"/>
      <c r="B612" s="24"/>
      <c r="C612" s="24"/>
      <c r="D612" s="41"/>
    </row>
    <row r="613">
      <c r="A613" s="24"/>
      <c r="B613" s="24"/>
      <c r="C613" s="24"/>
      <c r="D613" s="41"/>
    </row>
    <row r="614">
      <c r="A614" s="24"/>
      <c r="B614" s="24"/>
      <c r="C614" s="24"/>
      <c r="D614" s="41"/>
    </row>
    <row r="615">
      <c r="A615" s="24"/>
      <c r="B615" s="24"/>
      <c r="C615" s="24"/>
      <c r="D615" s="41"/>
    </row>
    <row r="616">
      <c r="A616" s="24"/>
      <c r="B616" s="24"/>
      <c r="C616" s="24"/>
      <c r="D616" s="41"/>
    </row>
    <row r="617">
      <c r="A617" s="24"/>
      <c r="B617" s="24"/>
      <c r="C617" s="24"/>
      <c r="D617" s="41"/>
    </row>
    <row r="618">
      <c r="A618" s="24"/>
      <c r="B618" s="24"/>
      <c r="C618" s="24"/>
      <c r="D618" s="41"/>
    </row>
    <row r="619">
      <c r="A619" s="24"/>
      <c r="B619" s="24"/>
      <c r="C619" s="24"/>
      <c r="D619" s="41"/>
    </row>
    <row r="620">
      <c r="A620" s="24"/>
      <c r="B620" s="24"/>
      <c r="C620" s="24"/>
      <c r="D620" s="41"/>
    </row>
    <row r="621">
      <c r="A621" s="24"/>
      <c r="B621" s="24"/>
      <c r="C621" s="24"/>
      <c r="D621" s="41"/>
    </row>
    <row r="622">
      <c r="A622" s="24"/>
      <c r="B622" s="24"/>
      <c r="C622" s="24"/>
      <c r="D622" s="41"/>
    </row>
    <row r="623">
      <c r="A623" s="24"/>
      <c r="B623" s="24"/>
      <c r="C623" s="24"/>
      <c r="D623" s="41"/>
    </row>
    <row r="624">
      <c r="A624" s="24"/>
      <c r="B624" s="24"/>
      <c r="C624" s="24"/>
      <c r="D624" s="41"/>
    </row>
    <row r="625">
      <c r="A625" s="24"/>
      <c r="B625" s="24"/>
      <c r="C625" s="24"/>
      <c r="D625" s="41"/>
    </row>
    <row r="626">
      <c r="A626" s="24"/>
      <c r="B626" s="24"/>
      <c r="C626" s="24"/>
      <c r="D626" s="41"/>
    </row>
    <row r="627">
      <c r="A627" s="24"/>
      <c r="B627" s="24"/>
      <c r="C627" s="24"/>
      <c r="D627" s="41"/>
    </row>
    <row r="628">
      <c r="A628" s="24"/>
      <c r="B628" s="24"/>
      <c r="C628" s="24"/>
      <c r="D628" s="41"/>
    </row>
    <row r="629">
      <c r="A629" s="24"/>
      <c r="B629" s="24"/>
      <c r="C629" s="24"/>
      <c r="D629" s="41"/>
    </row>
    <row r="630">
      <c r="A630" s="24"/>
      <c r="B630" s="24"/>
      <c r="C630" s="24"/>
      <c r="D630" s="41"/>
    </row>
    <row r="631">
      <c r="A631" s="24"/>
      <c r="B631" s="24"/>
      <c r="C631" s="24"/>
      <c r="D631" s="41"/>
    </row>
    <row r="632">
      <c r="A632" s="24"/>
      <c r="B632" s="24"/>
      <c r="C632" s="24"/>
      <c r="D632" s="41"/>
    </row>
    <row r="633">
      <c r="A633" s="24"/>
      <c r="B633" s="24"/>
      <c r="C633" s="24"/>
      <c r="D633" s="41"/>
    </row>
    <row r="634">
      <c r="A634" s="24"/>
      <c r="B634" s="24"/>
      <c r="C634" s="24"/>
      <c r="D634" s="41"/>
    </row>
    <row r="635">
      <c r="A635" s="24"/>
      <c r="B635" s="24"/>
      <c r="C635" s="24"/>
      <c r="D635" s="41"/>
    </row>
    <row r="636">
      <c r="A636" s="24"/>
      <c r="B636" s="24"/>
      <c r="C636" s="24"/>
      <c r="D636" s="41"/>
    </row>
    <row r="637">
      <c r="A637" s="24"/>
      <c r="B637" s="24"/>
      <c r="C637" s="24"/>
      <c r="D637" s="41"/>
    </row>
    <row r="638">
      <c r="A638" s="24"/>
      <c r="B638" s="24"/>
      <c r="C638" s="24"/>
      <c r="D638" s="41"/>
    </row>
    <row r="639">
      <c r="A639" s="24"/>
      <c r="B639" s="24"/>
      <c r="C639" s="24"/>
      <c r="D639" s="41"/>
    </row>
    <row r="640">
      <c r="A640" s="24"/>
      <c r="B640" s="24"/>
      <c r="C640" s="24"/>
      <c r="D640" s="41"/>
    </row>
    <row r="641">
      <c r="A641" s="24"/>
      <c r="B641" s="24"/>
      <c r="C641" s="24"/>
      <c r="D641" s="41"/>
    </row>
    <row r="642">
      <c r="A642" s="24"/>
      <c r="B642" s="24"/>
      <c r="C642" s="24"/>
      <c r="D642" s="41"/>
    </row>
    <row r="643">
      <c r="A643" s="24"/>
      <c r="B643" s="24"/>
      <c r="C643" s="24"/>
      <c r="D643" s="41"/>
    </row>
    <row r="644">
      <c r="A644" s="24"/>
      <c r="B644" s="24"/>
      <c r="C644" s="24"/>
      <c r="D644" s="41"/>
    </row>
    <row r="645">
      <c r="A645" s="24"/>
      <c r="B645" s="24"/>
      <c r="C645" s="24"/>
      <c r="D645" s="41"/>
    </row>
    <row r="646">
      <c r="A646" s="24"/>
      <c r="B646" s="24"/>
      <c r="C646" s="24"/>
      <c r="D646" s="41"/>
    </row>
    <row r="647">
      <c r="A647" s="24"/>
      <c r="B647" s="24"/>
      <c r="C647" s="24"/>
      <c r="D647" s="41"/>
    </row>
    <row r="648">
      <c r="A648" s="24"/>
      <c r="B648" s="24"/>
      <c r="C648" s="24"/>
      <c r="D648" s="41"/>
    </row>
    <row r="649">
      <c r="A649" s="24"/>
      <c r="B649" s="24"/>
      <c r="C649" s="24"/>
      <c r="D649" s="41"/>
    </row>
    <row r="650">
      <c r="A650" s="24"/>
      <c r="B650" s="24"/>
      <c r="C650" s="24"/>
      <c r="D650" s="41"/>
    </row>
    <row r="651">
      <c r="A651" s="24"/>
      <c r="B651" s="24"/>
      <c r="C651" s="24"/>
      <c r="D651" s="41"/>
    </row>
    <row r="652">
      <c r="A652" s="24"/>
      <c r="B652" s="24"/>
      <c r="C652" s="24"/>
      <c r="D652" s="41"/>
    </row>
    <row r="653">
      <c r="A653" s="24"/>
      <c r="B653" s="24"/>
      <c r="C653" s="24"/>
      <c r="D653" s="41"/>
    </row>
    <row r="654">
      <c r="A654" s="24"/>
      <c r="B654" s="24"/>
      <c r="C654" s="24"/>
      <c r="D654" s="41"/>
    </row>
    <row r="655">
      <c r="A655" s="24"/>
      <c r="B655" s="24"/>
      <c r="C655" s="24"/>
      <c r="D655" s="41"/>
    </row>
    <row r="656">
      <c r="A656" s="24"/>
      <c r="B656" s="24"/>
      <c r="C656" s="24"/>
      <c r="D656" s="41"/>
    </row>
    <row r="657">
      <c r="A657" s="24"/>
      <c r="B657" s="24"/>
      <c r="C657" s="24"/>
      <c r="D657" s="41"/>
    </row>
    <row r="658">
      <c r="A658" s="24"/>
      <c r="B658" s="24"/>
      <c r="C658" s="24"/>
      <c r="D658" s="41"/>
    </row>
    <row r="659">
      <c r="A659" s="24"/>
      <c r="B659" s="24"/>
      <c r="C659" s="24"/>
      <c r="D659" s="41"/>
    </row>
    <row r="660">
      <c r="A660" s="24"/>
      <c r="B660" s="24"/>
      <c r="C660" s="24"/>
      <c r="D660" s="41"/>
    </row>
    <row r="661">
      <c r="A661" s="24"/>
      <c r="B661" s="24"/>
      <c r="C661" s="24"/>
      <c r="D661" s="41"/>
    </row>
    <row r="662">
      <c r="A662" s="24"/>
      <c r="B662" s="24"/>
      <c r="C662" s="24"/>
      <c r="D662" s="41"/>
    </row>
    <row r="663">
      <c r="A663" s="24"/>
      <c r="B663" s="24"/>
      <c r="C663" s="24"/>
      <c r="D663" s="41"/>
    </row>
    <row r="664">
      <c r="A664" s="24"/>
      <c r="B664" s="24"/>
      <c r="C664" s="24"/>
      <c r="D664" s="41"/>
    </row>
    <row r="665">
      <c r="A665" s="24"/>
      <c r="B665" s="24"/>
      <c r="C665" s="24"/>
      <c r="D665" s="41"/>
    </row>
    <row r="666">
      <c r="A666" s="24"/>
      <c r="B666" s="24"/>
      <c r="C666" s="24"/>
      <c r="D666" s="41"/>
    </row>
    <row r="667">
      <c r="A667" s="24"/>
      <c r="B667" s="24"/>
      <c r="C667" s="24"/>
      <c r="D667" s="41"/>
    </row>
    <row r="668">
      <c r="A668" s="24"/>
      <c r="B668" s="24"/>
      <c r="C668" s="24"/>
      <c r="D668" s="41"/>
    </row>
    <row r="669">
      <c r="A669" s="24"/>
      <c r="B669" s="24"/>
      <c r="C669" s="24"/>
      <c r="D669" s="41"/>
    </row>
    <row r="670">
      <c r="A670" s="24"/>
      <c r="B670" s="24"/>
      <c r="C670" s="24"/>
      <c r="D670" s="41"/>
    </row>
    <row r="671">
      <c r="A671" s="24"/>
      <c r="B671" s="24"/>
      <c r="C671" s="24"/>
      <c r="D671" s="41"/>
    </row>
    <row r="672">
      <c r="A672" s="24"/>
      <c r="B672" s="24"/>
      <c r="C672" s="24"/>
      <c r="D672" s="41"/>
    </row>
    <row r="673">
      <c r="A673" s="24"/>
      <c r="B673" s="24"/>
      <c r="C673" s="24"/>
      <c r="D673" s="41"/>
    </row>
    <row r="674">
      <c r="A674" s="24"/>
      <c r="B674" s="24"/>
      <c r="C674" s="24"/>
      <c r="D674" s="41"/>
    </row>
    <row r="675">
      <c r="A675" s="24"/>
      <c r="B675" s="24"/>
      <c r="C675" s="24"/>
      <c r="D675" s="41"/>
    </row>
    <row r="676">
      <c r="A676" s="24"/>
      <c r="B676" s="24"/>
      <c r="C676" s="24"/>
      <c r="D676" s="41"/>
    </row>
    <row r="677">
      <c r="A677" s="24"/>
      <c r="B677" s="24"/>
      <c r="C677" s="24"/>
      <c r="D677" s="41"/>
    </row>
    <row r="678">
      <c r="A678" s="24"/>
      <c r="B678" s="24"/>
      <c r="C678" s="24"/>
      <c r="D678" s="41"/>
    </row>
    <row r="679">
      <c r="A679" s="24"/>
      <c r="B679" s="24"/>
      <c r="C679" s="24"/>
      <c r="D679" s="41"/>
    </row>
    <row r="680">
      <c r="A680" s="24"/>
      <c r="B680" s="24"/>
      <c r="C680" s="24"/>
      <c r="D680" s="41"/>
    </row>
    <row r="681">
      <c r="A681" s="24"/>
      <c r="B681" s="24"/>
      <c r="C681" s="24"/>
      <c r="D681" s="41"/>
    </row>
    <row r="682">
      <c r="A682" s="24"/>
      <c r="B682" s="24"/>
      <c r="C682" s="24"/>
      <c r="D682" s="41"/>
    </row>
    <row r="683">
      <c r="A683" s="24"/>
      <c r="B683" s="24"/>
      <c r="C683" s="24"/>
      <c r="D683" s="41"/>
    </row>
    <row r="684">
      <c r="A684" s="24"/>
      <c r="B684" s="24"/>
      <c r="C684" s="24"/>
      <c r="D684" s="41"/>
    </row>
    <row r="685">
      <c r="A685" s="24"/>
      <c r="B685" s="24"/>
      <c r="C685" s="24"/>
      <c r="D685" s="41"/>
    </row>
    <row r="686">
      <c r="A686" s="24"/>
      <c r="B686" s="24"/>
      <c r="C686" s="24"/>
      <c r="D686" s="41"/>
    </row>
    <row r="687">
      <c r="A687" s="24"/>
      <c r="B687" s="24"/>
      <c r="C687" s="24"/>
      <c r="D687" s="41"/>
    </row>
    <row r="688">
      <c r="A688" s="24"/>
      <c r="B688" s="24"/>
      <c r="C688" s="24"/>
      <c r="D688" s="41"/>
    </row>
    <row r="689">
      <c r="A689" s="24"/>
      <c r="B689" s="24"/>
      <c r="C689" s="24"/>
      <c r="D689" s="41"/>
    </row>
    <row r="690">
      <c r="A690" s="24"/>
      <c r="B690" s="24"/>
      <c r="C690" s="24"/>
      <c r="D690" s="41"/>
    </row>
    <row r="691">
      <c r="A691" s="24"/>
      <c r="B691" s="24"/>
      <c r="C691" s="24"/>
      <c r="D691" s="41"/>
    </row>
    <row r="692">
      <c r="A692" s="24"/>
      <c r="B692" s="24"/>
      <c r="C692" s="24"/>
      <c r="D692" s="41"/>
    </row>
    <row r="693">
      <c r="A693" s="24"/>
      <c r="B693" s="24"/>
      <c r="C693" s="24"/>
      <c r="D693" s="41"/>
    </row>
    <row r="694">
      <c r="A694" s="24"/>
      <c r="B694" s="24"/>
      <c r="C694" s="24"/>
      <c r="D694" s="41"/>
    </row>
    <row r="695">
      <c r="A695" s="24"/>
      <c r="B695" s="24"/>
      <c r="C695" s="24"/>
      <c r="D695" s="41"/>
    </row>
    <row r="696">
      <c r="A696" s="24"/>
      <c r="B696" s="24"/>
      <c r="C696" s="24"/>
      <c r="D696" s="41"/>
    </row>
    <row r="697">
      <c r="A697" s="24"/>
      <c r="B697" s="24"/>
      <c r="C697" s="24"/>
      <c r="D697" s="41"/>
    </row>
    <row r="698">
      <c r="A698" s="24"/>
      <c r="B698" s="24"/>
      <c r="C698" s="24"/>
      <c r="D698" s="41"/>
    </row>
    <row r="699">
      <c r="A699" s="24"/>
      <c r="B699" s="24"/>
      <c r="C699" s="24"/>
      <c r="D699" s="41"/>
    </row>
    <row r="700">
      <c r="A700" s="24"/>
      <c r="B700" s="24"/>
      <c r="C700" s="24"/>
      <c r="D700" s="41"/>
    </row>
    <row r="701">
      <c r="A701" s="24"/>
      <c r="B701" s="24"/>
      <c r="C701" s="24"/>
      <c r="D701" s="41"/>
    </row>
    <row r="702">
      <c r="A702" s="24"/>
      <c r="B702" s="24"/>
      <c r="C702" s="24"/>
      <c r="D702" s="41"/>
    </row>
    <row r="703">
      <c r="A703" s="24"/>
      <c r="B703" s="24"/>
      <c r="C703" s="24"/>
      <c r="D703" s="41"/>
    </row>
    <row r="704">
      <c r="A704" s="24"/>
      <c r="B704" s="24"/>
      <c r="C704" s="24"/>
      <c r="D704" s="41"/>
    </row>
    <row r="705">
      <c r="A705" s="24"/>
      <c r="B705" s="24"/>
      <c r="C705" s="24"/>
      <c r="D705" s="41"/>
    </row>
    <row r="706">
      <c r="A706" s="24"/>
      <c r="B706" s="24"/>
      <c r="C706" s="24"/>
      <c r="D706" s="41"/>
    </row>
    <row r="707">
      <c r="A707" s="24"/>
      <c r="B707" s="24"/>
      <c r="C707" s="24"/>
      <c r="D707" s="41"/>
    </row>
    <row r="708">
      <c r="A708" s="24"/>
      <c r="B708" s="24"/>
      <c r="C708" s="24"/>
      <c r="D708" s="41"/>
    </row>
    <row r="709">
      <c r="A709" s="24"/>
      <c r="B709" s="24"/>
      <c r="C709" s="24"/>
      <c r="D709" s="41"/>
    </row>
    <row r="710">
      <c r="A710" s="24"/>
      <c r="B710" s="24"/>
      <c r="C710" s="24"/>
      <c r="D710" s="41"/>
    </row>
    <row r="711">
      <c r="A711" s="24"/>
      <c r="B711" s="24"/>
      <c r="C711" s="24"/>
      <c r="D711" s="41"/>
    </row>
    <row r="712">
      <c r="A712" s="24"/>
      <c r="B712" s="24"/>
      <c r="C712" s="24"/>
      <c r="D712" s="41"/>
    </row>
    <row r="713">
      <c r="A713" s="24"/>
      <c r="B713" s="24"/>
      <c r="C713" s="24"/>
      <c r="D713" s="41"/>
    </row>
    <row r="714">
      <c r="A714" s="24"/>
      <c r="B714" s="24"/>
      <c r="C714" s="24"/>
      <c r="D714" s="41"/>
    </row>
    <row r="715">
      <c r="A715" s="24"/>
      <c r="B715" s="24"/>
      <c r="C715" s="24"/>
      <c r="D715" s="41"/>
    </row>
    <row r="716">
      <c r="A716" s="24"/>
      <c r="B716" s="24"/>
      <c r="C716" s="24"/>
      <c r="D716" s="41"/>
    </row>
    <row r="717">
      <c r="A717" s="24"/>
      <c r="B717" s="24"/>
      <c r="C717" s="24"/>
      <c r="D717" s="41"/>
    </row>
    <row r="718">
      <c r="A718" s="24"/>
      <c r="B718" s="24"/>
      <c r="C718" s="24"/>
      <c r="D718" s="41"/>
    </row>
    <row r="719">
      <c r="A719" s="24"/>
      <c r="B719" s="24"/>
      <c r="C719" s="24"/>
      <c r="D719" s="41"/>
    </row>
    <row r="720">
      <c r="A720" s="24"/>
      <c r="B720" s="24"/>
      <c r="C720" s="24"/>
      <c r="D720" s="41"/>
    </row>
    <row r="721">
      <c r="A721" s="24"/>
      <c r="B721" s="24"/>
      <c r="C721" s="24"/>
      <c r="D721" s="41"/>
    </row>
    <row r="722">
      <c r="A722" s="24"/>
      <c r="B722" s="24"/>
      <c r="C722" s="24"/>
      <c r="D722" s="41"/>
    </row>
    <row r="723">
      <c r="A723" s="24"/>
      <c r="B723" s="24"/>
      <c r="C723" s="24"/>
      <c r="D723" s="41"/>
    </row>
    <row r="724">
      <c r="A724" s="24"/>
      <c r="B724" s="24"/>
      <c r="C724" s="24"/>
      <c r="D724" s="41"/>
    </row>
    <row r="725">
      <c r="A725" s="24"/>
      <c r="B725" s="24"/>
      <c r="C725" s="24"/>
      <c r="D725" s="41"/>
    </row>
    <row r="726">
      <c r="A726" s="24"/>
      <c r="B726" s="24"/>
      <c r="C726" s="24"/>
      <c r="D726" s="41"/>
    </row>
    <row r="727">
      <c r="A727" s="24"/>
      <c r="B727" s="24"/>
      <c r="C727" s="24"/>
      <c r="D727" s="41"/>
    </row>
    <row r="728">
      <c r="A728" s="24"/>
      <c r="B728" s="24"/>
      <c r="C728" s="24"/>
      <c r="D728" s="41"/>
    </row>
    <row r="729">
      <c r="A729" s="24"/>
      <c r="B729" s="24"/>
      <c r="C729" s="24"/>
      <c r="D729" s="41"/>
    </row>
    <row r="730">
      <c r="A730" s="24"/>
      <c r="B730" s="24"/>
      <c r="C730" s="24"/>
      <c r="D730" s="41"/>
    </row>
    <row r="731">
      <c r="A731" s="24"/>
      <c r="B731" s="24"/>
      <c r="C731" s="24"/>
      <c r="D731" s="41"/>
    </row>
    <row r="732">
      <c r="A732" s="24"/>
      <c r="B732" s="24"/>
      <c r="C732" s="24"/>
      <c r="D732" s="41"/>
    </row>
    <row r="733">
      <c r="A733" s="24"/>
      <c r="B733" s="24"/>
      <c r="C733" s="24"/>
      <c r="D733" s="41"/>
    </row>
    <row r="734">
      <c r="A734" s="24"/>
      <c r="B734" s="24"/>
      <c r="C734" s="24"/>
      <c r="D734" s="41"/>
    </row>
    <row r="735">
      <c r="A735" s="24"/>
      <c r="B735" s="24"/>
      <c r="C735" s="24"/>
      <c r="D735" s="41"/>
    </row>
    <row r="736">
      <c r="A736" s="24"/>
      <c r="B736" s="24"/>
      <c r="C736" s="24"/>
      <c r="D736" s="41"/>
    </row>
    <row r="737">
      <c r="A737" s="24"/>
      <c r="B737" s="24"/>
      <c r="C737" s="24"/>
      <c r="D737" s="41"/>
    </row>
    <row r="738">
      <c r="A738" s="24"/>
      <c r="B738" s="24"/>
      <c r="C738" s="24"/>
      <c r="D738" s="41"/>
    </row>
    <row r="739">
      <c r="A739" s="24"/>
      <c r="B739" s="24"/>
      <c r="C739" s="24"/>
      <c r="D739" s="41"/>
    </row>
    <row r="740">
      <c r="A740" s="24"/>
      <c r="B740" s="24"/>
      <c r="C740" s="24"/>
      <c r="D740" s="41"/>
    </row>
    <row r="741">
      <c r="A741" s="24"/>
      <c r="B741" s="24"/>
      <c r="C741" s="24"/>
      <c r="D741" s="41"/>
    </row>
    <row r="742">
      <c r="A742" s="24"/>
      <c r="B742" s="24"/>
      <c r="C742" s="24"/>
      <c r="D742" s="41"/>
    </row>
    <row r="743">
      <c r="A743" s="24"/>
      <c r="B743" s="24"/>
      <c r="C743" s="24"/>
      <c r="D743" s="41"/>
    </row>
    <row r="744">
      <c r="A744" s="24"/>
      <c r="B744" s="24"/>
      <c r="C744" s="24"/>
      <c r="D744" s="41"/>
    </row>
    <row r="745">
      <c r="A745" s="24"/>
      <c r="B745" s="24"/>
      <c r="C745" s="24"/>
      <c r="D745" s="41"/>
    </row>
    <row r="746">
      <c r="A746" s="24"/>
      <c r="B746" s="24"/>
      <c r="C746" s="24"/>
      <c r="D746" s="41"/>
    </row>
    <row r="747">
      <c r="A747" s="24"/>
      <c r="B747" s="24"/>
      <c r="C747" s="24"/>
      <c r="D747" s="41"/>
    </row>
    <row r="748">
      <c r="A748" s="24"/>
      <c r="B748" s="24"/>
      <c r="C748" s="24"/>
      <c r="D748" s="41"/>
    </row>
    <row r="749">
      <c r="A749" s="24"/>
      <c r="B749" s="24"/>
      <c r="C749" s="24"/>
      <c r="D749" s="41"/>
    </row>
    <row r="750">
      <c r="A750" s="24"/>
      <c r="B750" s="24"/>
      <c r="C750" s="24"/>
      <c r="D750" s="41"/>
    </row>
    <row r="751">
      <c r="A751" s="24"/>
      <c r="B751" s="24"/>
      <c r="C751" s="24"/>
      <c r="D751" s="41"/>
    </row>
    <row r="752">
      <c r="A752" s="24"/>
      <c r="B752" s="24"/>
      <c r="C752" s="24"/>
      <c r="D752" s="41"/>
    </row>
    <row r="753">
      <c r="A753" s="24"/>
      <c r="B753" s="24"/>
      <c r="C753" s="24"/>
      <c r="D753" s="41"/>
    </row>
    <row r="754">
      <c r="A754" s="24"/>
      <c r="B754" s="24"/>
      <c r="C754" s="24"/>
      <c r="D754" s="41"/>
    </row>
    <row r="755">
      <c r="A755" s="24"/>
      <c r="B755" s="24"/>
      <c r="C755" s="24"/>
      <c r="D755" s="41"/>
    </row>
    <row r="756">
      <c r="A756" s="24"/>
      <c r="B756" s="24"/>
      <c r="C756" s="24"/>
      <c r="D756" s="41"/>
    </row>
    <row r="757">
      <c r="A757" s="24"/>
      <c r="B757" s="24"/>
      <c r="C757" s="24"/>
      <c r="D757" s="41"/>
    </row>
    <row r="758">
      <c r="A758" s="24"/>
      <c r="B758" s="24"/>
      <c r="C758" s="24"/>
      <c r="D758" s="41"/>
    </row>
    <row r="759">
      <c r="A759" s="24"/>
      <c r="B759" s="24"/>
      <c r="C759" s="24"/>
      <c r="D759" s="41"/>
    </row>
    <row r="760">
      <c r="A760" s="24"/>
      <c r="B760" s="24"/>
      <c r="C760" s="24"/>
      <c r="D760" s="41"/>
    </row>
    <row r="761">
      <c r="A761" s="24"/>
      <c r="B761" s="24"/>
      <c r="C761" s="24"/>
      <c r="D761" s="41"/>
    </row>
    <row r="762">
      <c r="A762" s="24"/>
      <c r="B762" s="24"/>
      <c r="C762" s="24"/>
      <c r="D762" s="41"/>
    </row>
    <row r="763">
      <c r="A763" s="24"/>
      <c r="B763" s="24"/>
      <c r="C763" s="24"/>
      <c r="D763" s="41"/>
    </row>
    <row r="764">
      <c r="A764" s="24"/>
      <c r="B764" s="24"/>
      <c r="C764" s="24"/>
      <c r="D764" s="41"/>
    </row>
    <row r="765">
      <c r="A765" s="24"/>
      <c r="B765" s="24"/>
      <c r="C765" s="24"/>
      <c r="D765" s="41"/>
    </row>
    <row r="766">
      <c r="A766" s="24"/>
      <c r="B766" s="24"/>
      <c r="C766" s="24"/>
      <c r="D766" s="41"/>
    </row>
    <row r="767">
      <c r="A767" s="24"/>
      <c r="B767" s="24"/>
      <c r="C767" s="24"/>
      <c r="D767" s="41"/>
    </row>
    <row r="768">
      <c r="A768" s="24"/>
      <c r="B768" s="24"/>
      <c r="C768" s="24"/>
      <c r="D768" s="41"/>
    </row>
    <row r="769">
      <c r="A769" s="24"/>
      <c r="B769" s="24"/>
      <c r="C769" s="24"/>
      <c r="D769" s="41"/>
    </row>
    <row r="770">
      <c r="A770" s="24"/>
      <c r="B770" s="24"/>
      <c r="C770" s="24"/>
      <c r="D770" s="41"/>
    </row>
    <row r="771">
      <c r="A771" s="24"/>
      <c r="B771" s="24"/>
      <c r="C771" s="24"/>
      <c r="D771" s="41"/>
    </row>
    <row r="772">
      <c r="A772" s="24"/>
      <c r="B772" s="24"/>
      <c r="C772" s="24"/>
      <c r="D772" s="41"/>
    </row>
    <row r="773">
      <c r="A773" s="24"/>
      <c r="B773" s="24"/>
      <c r="C773" s="24"/>
      <c r="D773" s="41"/>
    </row>
    <row r="774">
      <c r="A774" s="24"/>
      <c r="B774" s="24"/>
      <c r="C774" s="24"/>
      <c r="D774" s="41"/>
    </row>
    <row r="775">
      <c r="A775" s="24"/>
      <c r="B775" s="24"/>
      <c r="C775" s="24"/>
      <c r="D775" s="41"/>
    </row>
    <row r="776">
      <c r="A776" s="24"/>
      <c r="B776" s="24"/>
      <c r="C776" s="24"/>
      <c r="D776" s="41"/>
    </row>
    <row r="777">
      <c r="A777" s="24"/>
      <c r="B777" s="24"/>
      <c r="C777" s="24"/>
      <c r="D777" s="41"/>
    </row>
    <row r="778">
      <c r="A778" s="24"/>
      <c r="B778" s="24"/>
      <c r="C778" s="24"/>
      <c r="D778" s="41"/>
    </row>
    <row r="779">
      <c r="A779" s="24"/>
      <c r="B779" s="24"/>
      <c r="C779" s="24"/>
      <c r="D779" s="41"/>
    </row>
    <row r="780">
      <c r="A780" s="24"/>
      <c r="B780" s="24"/>
      <c r="C780" s="24"/>
      <c r="D780" s="41"/>
    </row>
    <row r="781">
      <c r="A781" s="24"/>
      <c r="B781" s="24"/>
      <c r="C781" s="24"/>
      <c r="D781" s="41"/>
    </row>
    <row r="782">
      <c r="A782" s="24"/>
      <c r="B782" s="24"/>
      <c r="C782" s="24"/>
      <c r="D782" s="41"/>
    </row>
    <row r="783">
      <c r="A783" s="24"/>
      <c r="B783" s="24"/>
      <c r="C783" s="24"/>
      <c r="D783" s="41"/>
    </row>
    <row r="784">
      <c r="A784" s="24"/>
      <c r="B784" s="24"/>
      <c r="C784" s="24"/>
      <c r="D784" s="41"/>
    </row>
    <row r="785">
      <c r="A785" s="24"/>
      <c r="B785" s="24"/>
      <c r="C785" s="24"/>
      <c r="D785" s="41"/>
    </row>
    <row r="786">
      <c r="A786" s="24"/>
      <c r="B786" s="24"/>
      <c r="C786" s="24"/>
      <c r="D786" s="41"/>
    </row>
    <row r="787">
      <c r="A787" s="24"/>
      <c r="B787" s="24"/>
      <c r="C787" s="24"/>
      <c r="D787" s="41"/>
    </row>
    <row r="788">
      <c r="A788" s="24"/>
      <c r="B788" s="24"/>
      <c r="C788" s="24"/>
      <c r="D788" s="41"/>
    </row>
    <row r="789">
      <c r="A789" s="24"/>
      <c r="B789" s="24"/>
      <c r="C789" s="24"/>
      <c r="D789" s="41"/>
    </row>
    <row r="790">
      <c r="A790" s="24"/>
      <c r="B790" s="24"/>
      <c r="C790" s="24"/>
      <c r="D790" s="41"/>
    </row>
    <row r="791">
      <c r="A791" s="24"/>
      <c r="B791" s="24"/>
      <c r="C791" s="24"/>
      <c r="D791" s="41"/>
    </row>
    <row r="792">
      <c r="A792" s="24"/>
      <c r="B792" s="24"/>
      <c r="C792" s="24"/>
      <c r="D792" s="41"/>
    </row>
    <row r="793">
      <c r="A793" s="24"/>
      <c r="B793" s="24"/>
      <c r="C793" s="24"/>
      <c r="D793" s="41"/>
    </row>
    <row r="794">
      <c r="A794" s="24"/>
      <c r="B794" s="24"/>
      <c r="C794" s="24"/>
      <c r="D794" s="41"/>
    </row>
    <row r="795">
      <c r="A795" s="24"/>
      <c r="B795" s="24"/>
      <c r="C795" s="24"/>
      <c r="D795" s="41"/>
    </row>
    <row r="796">
      <c r="A796" s="24"/>
      <c r="B796" s="24"/>
      <c r="C796" s="24"/>
      <c r="D796" s="41"/>
    </row>
    <row r="797">
      <c r="A797" s="24"/>
      <c r="B797" s="24"/>
      <c r="C797" s="24"/>
      <c r="D797" s="41"/>
    </row>
    <row r="798">
      <c r="A798" s="24"/>
      <c r="B798" s="24"/>
      <c r="C798" s="24"/>
      <c r="D798" s="41"/>
    </row>
    <row r="799">
      <c r="A799" s="24"/>
      <c r="B799" s="24"/>
      <c r="C799" s="24"/>
      <c r="D799" s="41"/>
    </row>
    <row r="800">
      <c r="A800" s="24"/>
      <c r="B800" s="24"/>
      <c r="C800" s="24"/>
      <c r="D800" s="41"/>
    </row>
    <row r="801">
      <c r="A801" s="24"/>
      <c r="B801" s="24"/>
      <c r="C801" s="24"/>
      <c r="D801" s="41"/>
    </row>
    <row r="802">
      <c r="A802" s="24"/>
      <c r="B802" s="24"/>
      <c r="C802" s="24"/>
      <c r="D802" s="41"/>
    </row>
    <row r="803">
      <c r="A803" s="24"/>
      <c r="B803" s="24"/>
      <c r="C803" s="24"/>
      <c r="D803" s="41"/>
    </row>
    <row r="804">
      <c r="A804" s="24"/>
      <c r="B804" s="24"/>
      <c r="C804" s="24"/>
      <c r="D804" s="41"/>
    </row>
    <row r="805">
      <c r="A805" s="24"/>
      <c r="B805" s="24"/>
      <c r="C805" s="24"/>
      <c r="D805" s="41"/>
    </row>
    <row r="806">
      <c r="A806" s="24"/>
      <c r="B806" s="24"/>
      <c r="C806" s="24"/>
      <c r="D806" s="41"/>
    </row>
    <row r="807">
      <c r="A807" s="24"/>
      <c r="B807" s="24"/>
      <c r="C807" s="24"/>
      <c r="D807" s="41"/>
    </row>
    <row r="808">
      <c r="A808" s="24"/>
      <c r="B808" s="24"/>
      <c r="C808" s="24"/>
      <c r="D808" s="41"/>
    </row>
    <row r="809">
      <c r="A809" s="24"/>
      <c r="B809" s="24"/>
      <c r="C809" s="24"/>
      <c r="D809" s="41"/>
    </row>
    <row r="810">
      <c r="A810" s="24"/>
      <c r="B810" s="24"/>
      <c r="C810" s="24"/>
      <c r="D810" s="41"/>
    </row>
    <row r="811">
      <c r="A811" s="24"/>
      <c r="B811" s="24"/>
      <c r="C811" s="24"/>
      <c r="D811" s="41"/>
    </row>
    <row r="812">
      <c r="A812" s="24"/>
      <c r="B812" s="24"/>
      <c r="C812" s="24"/>
      <c r="D812" s="41"/>
    </row>
    <row r="813">
      <c r="A813" s="24"/>
      <c r="B813" s="24"/>
      <c r="C813" s="24"/>
      <c r="D813" s="41"/>
    </row>
    <row r="814">
      <c r="A814" s="24"/>
      <c r="B814" s="24"/>
      <c r="C814" s="24"/>
      <c r="D814" s="41"/>
    </row>
    <row r="815">
      <c r="A815" s="24"/>
      <c r="B815" s="24"/>
      <c r="C815" s="24"/>
      <c r="D815" s="41"/>
    </row>
    <row r="816">
      <c r="A816" s="24"/>
      <c r="B816" s="24"/>
      <c r="C816" s="24"/>
      <c r="D816" s="41"/>
    </row>
    <row r="817">
      <c r="A817" s="24"/>
      <c r="B817" s="24"/>
      <c r="C817" s="24"/>
      <c r="D817" s="41"/>
    </row>
    <row r="818">
      <c r="A818" s="24"/>
      <c r="B818" s="24"/>
      <c r="C818" s="24"/>
      <c r="D818" s="41"/>
    </row>
    <row r="819">
      <c r="A819" s="24"/>
      <c r="B819" s="24"/>
      <c r="C819" s="24"/>
      <c r="D819" s="41"/>
    </row>
    <row r="820">
      <c r="A820" s="24"/>
      <c r="B820" s="24"/>
      <c r="C820" s="24"/>
      <c r="D820" s="41"/>
    </row>
    <row r="821">
      <c r="A821" s="24"/>
      <c r="B821" s="24"/>
      <c r="C821" s="24"/>
      <c r="D821" s="41"/>
    </row>
    <row r="822">
      <c r="A822" s="24"/>
      <c r="B822" s="24"/>
      <c r="C822" s="24"/>
      <c r="D822" s="41"/>
    </row>
    <row r="823">
      <c r="A823" s="24"/>
      <c r="B823" s="24"/>
      <c r="C823" s="24"/>
      <c r="D823" s="41"/>
    </row>
    <row r="824">
      <c r="A824" s="24"/>
      <c r="B824" s="24"/>
      <c r="C824" s="24"/>
      <c r="D824" s="41"/>
    </row>
    <row r="825">
      <c r="A825" s="24"/>
      <c r="B825" s="24"/>
      <c r="C825" s="24"/>
      <c r="D825" s="41"/>
    </row>
    <row r="826">
      <c r="A826" s="24"/>
      <c r="B826" s="24"/>
      <c r="C826" s="24"/>
      <c r="D826" s="41"/>
    </row>
    <row r="827">
      <c r="A827" s="24"/>
      <c r="B827" s="24"/>
      <c r="C827" s="24"/>
      <c r="D827" s="41"/>
    </row>
    <row r="828">
      <c r="A828" s="24"/>
      <c r="B828" s="24"/>
      <c r="C828" s="24"/>
      <c r="D828" s="41"/>
    </row>
    <row r="829">
      <c r="A829" s="24"/>
      <c r="B829" s="24"/>
      <c r="C829" s="24"/>
      <c r="D829" s="41"/>
    </row>
    <row r="830">
      <c r="A830" s="24"/>
      <c r="B830" s="24"/>
      <c r="C830" s="24"/>
      <c r="D830" s="41"/>
    </row>
    <row r="831">
      <c r="A831" s="24"/>
      <c r="B831" s="24"/>
      <c r="C831" s="24"/>
      <c r="D831" s="41"/>
    </row>
    <row r="832">
      <c r="A832" s="24"/>
      <c r="B832" s="24"/>
      <c r="C832" s="24"/>
      <c r="D832" s="41"/>
    </row>
    <row r="833">
      <c r="A833" s="24"/>
      <c r="B833" s="24"/>
      <c r="C833" s="24"/>
      <c r="D833" s="41"/>
    </row>
    <row r="834">
      <c r="A834" s="24"/>
      <c r="B834" s="24"/>
      <c r="C834" s="24"/>
      <c r="D834" s="41"/>
    </row>
    <row r="835">
      <c r="A835" s="24"/>
      <c r="B835" s="24"/>
      <c r="C835" s="24"/>
      <c r="D835" s="41"/>
    </row>
    <row r="836">
      <c r="A836" s="24"/>
      <c r="B836" s="24"/>
      <c r="C836" s="24"/>
      <c r="D836" s="41"/>
    </row>
    <row r="837">
      <c r="A837" s="24"/>
      <c r="B837" s="24"/>
      <c r="C837" s="24"/>
      <c r="D837" s="41"/>
    </row>
    <row r="838">
      <c r="A838" s="24"/>
      <c r="B838" s="24"/>
      <c r="C838" s="24"/>
      <c r="D838" s="41"/>
    </row>
    <row r="839">
      <c r="A839" s="24"/>
      <c r="B839" s="24"/>
      <c r="C839" s="24"/>
      <c r="D839" s="41"/>
    </row>
    <row r="840">
      <c r="A840" s="24"/>
      <c r="B840" s="24"/>
      <c r="C840" s="24"/>
      <c r="D840" s="41"/>
    </row>
    <row r="841">
      <c r="A841" s="24"/>
      <c r="B841" s="24"/>
      <c r="C841" s="24"/>
      <c r="D841" s="41"/>
    </row>
    <row r="842">
      <c r="A842" s="24"/>
      <c r="B842" s="24"/>
      <c r="C842" s="24"/>
      <c r="D842" s="41"/>
    </row>
    <row r="843">
      <c r="A843" s="24"/>
      <c r="B843" s="24"/>
      <c r="C843" s="24"/>
      <c r="D843" s="41"/>
    </row>
    <row r="844">
      <c r="A844" s="24"/>
      <c r="B844" s="24"/>
      <c r="C844" s="24"/>
      <c r="D844" s="41"/>
    </row>
    <row r="845">
      <c r="A845" s="24"/>
      <c r="B845" s="24"/>
      <c r="C845" s="24"/>
      <c r="D845" s="41"/>
    </row>
    <row r="846">
      <c r="A846" s="24"/>
      <c r="B846" s="24"/>
      <c r="C846" s="24"/>
      <c r="D846" s="41"/>
    </row>
    <row r="847">
      <c r="A847" s="24"/>
      <c r="B847" s="24"/>
      <c r="C847" s="24"/>
      <c r="D847" s="41"/>
    </row>
    <row r="848">
      <c r="A848" s="24"/>
      <c r="B848" s="24"/>
      <c r="C848" s="24"/>
      <c r="D848" s="41"/>
    </row>
    <row r="849">
      <c r="A849" s="24"/>
      <c r="B849" s="24"/>
      <c r="C849" s="24"/>
      <c r="D849" s="41"/>
    </row>
    <row r="850">
      <c r="A850" s="24"/>
      <c r="B850" s="24"/>
      <c r="C850" s="24"/>
      <c r="D850" s="41"/>
    </row>
    <row r="851">
      <c r="A851" s="24"/>
      <c r="B851" s="24"/>
      <c r="C851" s="24"/>
      <c r="D851" s="41"/>
    </row>
    <row r="852">
      <c r="A852" s="24"/>
      <c r="B852" s="24"/>
      <c r="C852" s="24"/>
      <c r="D852" s="41"/>
    </row>
    <row r="853">
      <c r="A853" s="24"/>
      <c r="B853" s="24"/>
      <c r="C853" s="24"/>
      <c r="D853" s="41"/>
    </row>
    <row r="854">
      <c r="A854" s="24"/>
      <c r="B854" s="24"/>
      <c r="C854" s="24"/>
      <c r="D854" s="41"/>
    </row>
    <row r="855">
      <c r="A855" s="24"/>
      <c r="B855" s="24"/>
      <c r="C855" s="24"/>
      <c r="D855" s="41"/>
    </row>
    <row r="856">
      <c r="A856" s="24"/>
      <c r="B856" s="24"/>
      <c r="C856" s="24"/>
      <c r="D856" s="41"/>
    </row>
    <row r="857">
      <c r="A857" s="24"/>
      <c r="B857" s="24"/>
      <c r="C857" s="24"/>
      <c r="D857" s="41"/>
    </row>
    <row r="858">
      <c r="A858" s="24"/>
      <c r="B858" s="24"/>
      <c r="C858" s="24"/>
      <c r="D858" s="41"/>
    </row>
    <row r="859">
      <c r="A859" s="24"/>
      <c r="B859" s="24"/>
      <c r="C859" s="24"/>
      <c r="D859" s="41"/>
    </row>
    <row r="860">
      <c r="A860" s="24"/>
      <c r="B860" s="24"/>
      <c r="C860" s="24"/>
      <c r="D860" s="41"/>
    </row>
    <row r="861">
      <c r="A861" s="24"/>
      <c r="B861" s="24"/>
      <c r="C861" s="24"/>
      <c r="D861" s="41"/>
    </row>
    <row r="862">
      <c r="A862" s="24"/>
      <c r="B862" s="24"/>
      <c r="C862" s="24"/>
      <c r="D862" s="41"/>
    </row>
    <row r="863">
      <c r="A863" s="24"/>
      <c r="B863" s="24"/>
      <c r="C863" s="24"/>
      <c r="D863" s="41"/>
    </row>
    <row r="864">
      <c r="A864" s="24"/>
      <c r="B864" s="24"/>
      <c r="C864" s="24"/>
      <c r="D864" s="41"/>
    </row>
    <row r="865">
      <c r="A865" s="24"/>
      <c r="B865" s="24"/>
      <c r="C865" s="24"/>
      <c r="D865" s="41"/>
    </row>
    <row r="866">
      <c r="A866" s="24"/>
      <c r="B866" s="24"/>
      <c r="C866" s="24"/>
      <c r="D866" s="41"/>
    </row>
    <row r="867">
      <c r="A867" s="24"/>
      <c r="B867" s="24"/>
      <c r="C867" s="24"/>
      <c r="D867" s="41"/>
    </row>
    <row r="868">
      <c r="A868" s="24"/>
      <c r="B868" s="24"/>
      <c r="C868" s="24"/>
      <c r="D868" s="41"/>
    </row>
    <row r="869">
      <c r="A869" s="24"/>
      <c r="B869" s="24"/>
      <c r="C869" s="24"/>
      <c r="D869" s="41"/>
    </row>
    <row r="870">
      <c r="A870" s="24"/>
      <c r="B870" s="24"/>
      <c r="C870" s="24"/>
      <c r="D870" s="41"/>
    </row>
    <row r="871">
      <c r="A871" s="24"/>
      <c r="B871" s="24"/>
      <c r="C871" s="24"/>
      <c r="D871" s="41"/>
    </row>
    <row r="872">
      <c r="A872" s="24"/>
      <c r="B872" s="24"/>
      <c r="C872" s="24"/>
      <c r="D872" s="41"/>
    </row>
    <row r="873">
      <c r="A873" s="24"/>
      <c r="B873" s="24"/>
      <c r="C873" s="24"/>
      <c r="D873" s="41"/>
    </row>
    <row r="874">
      <c r="A874" s="24"/>
      <c r="B874" s="24"/>
      <c r="C874" s="24"/>
      <c r="D874" s="41"/>
    </row>
    <row r="875">
      <c r="A875" s="24"/>
      <c r="B875" s="24"/>
      <c r="C875" s="24"/>
      <c r="D875" s="41"/>
    </row>
    <row r="876">
      <c r="A876" s="24"/>
      <c r="B876" s="24"/>
      <c r="C876" s="24"/>
      <c r="D876" s="41"/>
    </row>
    <row r="877">
      <c r="A877" s="24"/>
      <c r="B877" s="24"/>
      <c r="C877" s="24"/>
      <c r="D877" s="41"/>
    </row>
    <row r="878">
      <c r="A878" s="24"/>
      <c r="B878" s="24"/>
      <c r="C878" s="24"/>
      <c r="D878" s="41"/>
    </row>
    <row r="879">
      <c r="A879" s="24"/>
      <c r="B879" s="24"/>
      <c r="C879" s="24"/>
      <c r="D879" s="41"/>
    </row>
    <row r="880">
      <c r="A880" s="24"/>
      <c r="B880" s="24"/>
      <c r="C880" s="24"/>
      <c r="D880" s="41"/>
    </row>
    <row r="881">
      <c r="A881" s="24"/>
      <c r="B881" s="24"/>
      <c r="C881" s="24"/>
      <c r="D881" s="41"/>
    </row>
    <row r="882">
      <c r="A882" s="24"/>
      <c r="B882" s="24"/>
      <c r="C882" s="24"/>
      <c r="D882" s="41"/>
    </row>
    <row r="883">
      <c r="A883" s="24"/>
      <c r="B883" s="24"/>
      <c r="C883" s="24"/>
      <c r="D883" s="41"/>
    </row>
    <row r="884">
      <c r="A884" s="24"/>
      <c r="B884" s="24"/>
      <c r="C884" s="24"/>
      <c r="D884" s="41"/>
    </row>
    <row r="885">
      <c r="A885" s="24"/>
      <c r="B885" s="24"/>
      <c r="C885" s="24"/>
      <c r="D885" s="41"/>
    </row>
    <row r="886">
      <c r="A886" s="24"/>
      <c r="B886" s="24"/>
      <c r="C886" s="24"/>
      <c r="D886" s="41"/>
    </row>
    <row r="887">
      <c r="A887" s="24"/>
      <c r="B887" s="24"/>
      <c r="C887" s="24"/>
      <c r="D887" s="41"/>
    </row>
    <row r="888">
      <c r="A888" s="24"/>
      <c r="B888" s="24"/>
      <c r="C888" s="24"/>
      <c r="D888" s="41"/>
    </row>
    <row r="889">
      <c r="A889" s="24"/>
      <c r="B889" s="24"/>
      <c r="C889" s="24"/>
      <c r="D889" s="41"/>
    </row>
    <row r="890">
      <c r="A890" s="24"/>
      <c r="B890" s="24"/>
      <c r="C890" s="24"/>
      <c r="D890" s="41"/>
    </row>
    <row r="891">
      <c r="A891" s="24"/>
      <c r="B891" s="24"/>
      <c r="C891" s="24"/>
      <c r="D891" s="41"/>
    </row>
    <row r="892">
      <c r="A892" s="24"/>
      <c r="B892" s="24"/>
      <c r="C892" s="24"/>
      <c r="D892" s="41"/>
    </row>
    <row r="893">
      <c r="A893" s="24"/>
      <c r="B893" s="24"/>
      <c r="C893" s="24"/>
      <c r="D893" s="41"/>
    </row>
    <row r="894">
      <c r="A894" s="24"/>
      <c r="B894" s="24"/>
      <c r="C894" s="24"/>
      <c r="D894" s="41"/>
    </row>
    <row r="895">
      <c r="A895" s="24"/>
      <c r="B895" s="24"/>
      <c r="C895" s="24"/>
      <c r="D895" s="41"/>
    </row>
    <row r="896">
      <c r="A896" s="24"/>
      <c r="B896" s="24"/>
      <c r="C896" s="24"/>
      <c r="D896" s="41"/>
    </row>
    <row r="897">
      <c r="A897" s="24"/>
      <c r="B897" s="24"/>
      <c r="C897" s="24"/>
      <c r="D897" s="41"/>
    </row>
    <row r="898">
      <c r="A898" s="24"/>
      <c r="B898" s="24"/>
      <c r="C898" s="24"/>
      <c r="D898" s="41"/>
    </row>
    <row r="899">
      <c r="A899" s="24"/>
      <c r="B899" s="24"/>
      <c r="C899" s="24"/>
      <c r="D899" s="41"/>
    </row>
    <row r="900">
      <c r="A900" s="24"/>
      <c r="B900" s="24"/>
      <c r="C900" s="24"/>
      <c r="D900" s="41"/>
    </row>
    <row r="901">
      <c r="A901" s="24"/>
      <c r="B901" s="24"/>
      <c r="C901" s="24"/>
      <c r="D901" s="41"/>
    </row>
    <row r="902">
      <c r="A902" s="24"/>
      <c r="B902" s="24"/>
      <c r="C902" s="24"/>
      <c r="D902" s="41"/>
    </row>
    <row r="903">
      <c r="A903" s="24"/>
      <c r="B903" s="24"/>
      <c r="C903" s="24"/>
      <c r="D903" s="41"/>
    </row>
    <row r="904">
      <c r="A904" s="24"/>
      <c r="B904" s="24"/>
      <c r="C904" s="24"/>
      <c r="D904" s="41"/>
    </row>
    <row r="905">
      <c r="A905" s="24"/>
      <c r="B905" s="24"/>
      <c r="C905" s="24"/>
      <c r="D905" s="41"/>
    </row>
    <row r="906">
      <c r="A906" s="24"/>
      <c r="B906" s="24"/>
      <c r="C906" s="24"/>
      <c r="D906" s="41"/>
    </row>
    <row r="907">
      <c r="A907" s="24"/>
      <c r="B907" s="24"/>
      <c r="C907" s="24"/>
      <c r="D907" s="41"/>
    </row>
    <row r="908">
      <c r="A908" s="24"/>
      <c r="B908" s="24"/>
      <c r="C908" s="24"/>
      <c r="D908" s="41"/>
    </row>
    <row r="909">
      <c r="A909" s="24"/>
      <c r="B909" s="24"/>
      <c r="C909" s="24"/>
      <c r="D909" s="41"/>
    </row>
    <row r="910">
      <c r="A910" s="24"/>
      <c r="B910" s="24"/>
      <c r="C910" s="24"/>
      <c r="D910" s="41"/>
    </row>
    <row r="911">
      <c r="A911" s="24"/>
      <c r="B911" s="24"/>
      <c r="C911" s="24"/>
      <c r="D911" s="41"/>
    </row>
    <row r="912">
      <c r="A912" s="24"/>
      <c r="B912" s="24"/>
      <c r="C912" s="24"/>
      <c r="D912" s="41"/>
    </row>
    <row r="913">
      <c r="A913" s="24"/>
      <c r="B913" s="24"/>
      <c r="C913" s="24"/>
      <c r="D913" s="41"/>
    </row>
    <row r="914">
      <c r="A914" s="24"/>
      <c r="B914" s="24"/>
      <c r="C914" s="24"/>
      <c r="D914" s="41"/>
    </row>
    <row r="915">
      <c r="A915" s="24"/>
      <c r="B915" s="24"/>
      <c r="C915" s="24"/>
      <c r="D915" s="41"/>
    </row>
    <row r="916">
      <c r="A916" s="24"/>
      <c r="B916" s="24"/>
      <c r="C916" s="24"/>
      <c r="D916" s="41"/>
    </row>
    <row r="917">
      <c r="A917" s="24"/>
      <c r="B917" s="24"/>
      <c r="C917" s="24"/>
      <c r="D917" s="41"/>
    </row>
    <row r="918">
      <c r="A918" s="24"/>
      <c r="B918" s="24"/>
      <c r="C918" s="24"/>
      <c r="D918" s="41"/>
    </row>
    <row r="919">
      <c r="A919" s="24"/>
      <c r="B919" s="24"/>
      <c r="C919" s="24"/>
      <c r="D919" s="41"/>
    </row>
    <row r="920">
      <c r="A920" s="24"/>
      <c r="B920" s="24"/>
      <c r="C920" s="24"/>
      <c r="D920" s="41"/>
    </row>
    <row r="921">
      <c r="A921" s="24"/>
      <c r="B921" s="24"/>
      <c r="C921" s="24"/>
      <c r="D921" s="41"/>
    </row>
    <row r="922">
      <c r="A922" s="24"/>
      <c r="B922" s="24"/>
      <c r="C922" s="24"/>
      <c r="D922" s="41"/>
    </row>
    <row r="923">
      <c r="A923" s="24"/>
      <c r="B923" s="24"/>
      <c r="C923" s="24"/>
      <c r="D923" s="41"/>
    </row>
    <row r="924">
      <c r="A924" s="24"/>
      <c r="B924" s="24"/>
      <c r="C924" s="24"/>
      <c r="D924" s="41"/>
    </row>
    <row r="925">
      <c r="A925" s="24"/>
      <c r="B925" s="24"/>
      <c r="C925" s="24"/>
      <c r="D925" s="41"/>
    </row>
    <row r="926">
      <c r="A926" s="24"/>
      <c r="B926" s="24"/>
      <c r="C926" s="24"/>
      <c r="D926" s="41"/>
    </row>
    <row r="927">
      <c r="A927" s="24"/>
      <c r="B927" s="24"/>
      <c r="C927" s="24"/>
      <c r="D927" s="41"/>
    </row>
    <row r="928">
      <c r="A928" s="24"/>
      <c r="B928" s="24"/>
      <c r="C928" s="24"/>
      <c r="D928" s="41"/>
    </row>
    <row r="929">
      <c r="A929" s="24"/>
      <c r="B929" s="24"/>
      <c r="C929" s="24"/>
      <c r="D929" s="41"/>
    </row>
    <row r="930">
      <c r="A930" s="24"/>
      <c r="B930" s="24"/>
      <c r="C930" s="24"/>
      <c r="D930" s="41"/>
    </row>
    <row r="931">
      <c r="A931" s="24"/>
      <c r="B931" s="24"/>
      <c r="C931" s="24"/>
      <c r="D931" s="41"/>
    </row>
    <row r="932">
      <c r="A932" s="24"/>
      <c r="B932" s="24"/>
      <c r="C932" s="24"/>
      <c r="D932" s="41"/>
    </row>
    <row r="933">
      <c r="A933" s="24"/>
      <c r="B933" s="24"/>
      <c r="C933" s="24"/>
      <c r="D933" s="41"/>
    </row>
    <row r="934">
      <c r="A934" s="24"/>
      <c r="B934" s="24"/>
      <c r="C934" s="24"/>
      <c r="D934" s="41"/>
    </row>
    <row r="935">
      <c r="A935" s="24"/>
      <c r="B935" s="24"/>
      <c r="C935" s="24"/>
      <c r="D935" s="41"/>
    </row>
    <row r="936">
      <c r="A936" s="24"/>
      <c r="B936" s="24"/>
      <c r="C936" s="24"/>
      <c r="D936" s="41"/>
    </row>
    <row r="937">
      <c r="A937" s="24"/>
      <c r="B937" s="24"/>
      <c r="C937" s="24"/>
      <c r="D937" s="41"/>
    </row>
    <row r="938">
      <c r="A938" s="24"/>
      <c r="B938" s="24"/>
      <c r="C938" s="24"/>
      <c r="D938" s="41"/>
    </row>
    <row r="939">
      <c r="A939" s="24"/>
      <c r="B939" s="24"/>
      <c r="C939" s="24"/>
      <c r="D939" s="41"/>
    </row>
    <row r="940">
      <c r="A940" s="24"/>
      <c r="B940" s="24"/>
      <c r="C940" s="24"/>
      <c r="D940" s="41"/>
    </row>
    <row r="941">
      <c r="A941" s="24"/>
      <c r="B941" s="24"/>
      <c r="C941" s="24"/>
      <c r="D941" s="41"/>
    </row>
    <row r="942">
      <c r="A942" s="24"/>
      <c r="B942" s="24"/>
      <c r="C942" s="24"/>
      <c r="D942" s="41"/>
    </row>
    <row r="943">
      <c r="A943" s="24"/>
      <c r="B943" s="24"/>
      <c r="C943" s="24"/>
      <c r="D943" s="41"/>
    </row>
    <row r="944">
      <c r="A944" s="24"/>
      <c r="B944" s="24"/>
      <c r="C944" s="24"/>
      <c r="D944" s="41"/>
    </row>
    <row r="945">
      <c r="A945" s="24"/>
      <c r="B945" s="24"/>
      <c r="C945" s="24"/>
      <c r="D945" s="41"/>
    </row>
    <row r="946">
      <c r="A946" s="24"/>
      <c r="B946" s="24"/>
      <c r="C946" s="24"/>
      <c r="D946" s="41"/>
    </row>
    <row r="947">
      <c r="A947" s="24"/>
      <c r="B947" s="24"/>
      <c r="C947" s="24"/>
      <c r="D947" s="41"/>
    </row>
    <row r="948">
      <c r="A948" s="24"/>
      <c r="B948" s="24"/>
      <c r="C948" s="24"/>
      <c r="D948" s="41"/>
    </row>
    <row r="949">
      <c r="A949" s="24"/>
      <c r="B949" s="24"/>
      <c r="C949" s="24"/>
      <c r="D949" s="41"/>
    </row>
    <row r="950">
      <c r="A950" s="24"/>
      <c r="B950" s="24"/>
      <c r="C950" s="24"/>
      <c r="D950" s="41"/>
    </row>
    <row r="951">
      <c r="A951" s="24"/>
      <c r="B951" s="24"/>
      <c r="C951" s="24"/>
      <c r="D951" s="41"/>
    </row>
    <row r="952">
      <c r="A952" s="24"/>
      <c r="B952" s="24"/>
      <c r="C952" s="24"/>
      <c r="D952" s="41"/>
    </row>
    <row r="953">
      <c r="A953" s="24"/>
      <c r="B953" s="24"/>
      <c r="C953" s="24"/>
      <c r="D953" s="41"/>
    </row>
    <row r="954">
      <c r="A954" s="24"/>
      <c r="B954" s="24"/>
      <c r="C954" s="24"/>
      <c r="D954" s="41"/>
    </row>
    <row r="955">
      <c r="A955" s="24"/>
      <c r="B955" s="24"/>
      <c r="C955" s="24"/>
      <c r="D955" s="41"/>
    </row>
    <row r="956">
      <c r="A956" s="24"/>
      <c r="B956" s="24"/>
      <c r="C956" s="24"/>
      <c r="D956" s="41"/>
    </row>
    <row r="957">
      <c r="A957" s="24"/>
      <c r="B957" s="24"/>
      <c r="C957" s="24"/>
      <c r="D957" s="41"/>
    </row>
    <row r="958">
      <c r="A958" s="24"/>
      <c r="B958" s="24"/>
      <c r="C958" s="24"/>
      <c r="D958" s="41"/>
    </row>
    <row r="959">
      <c r="A959" s="24"/>
      <c r="B959" s="24"/>
      <c r="C959" s="24"/>
      <c r="D959" s="41"/>
    </row>
    <row r="960">
      <c r="A960" s="24"/>
      <c r="B960" s="24"/>
      <c r="C960" s="24"/>
      <c r="D960" s="41"/>
    </row>
    <row r="961">
      <c r="A961" s="24"/>
      <c r="B961" s="24"/>
      <c r="C961" s="24"/>
      <c r="D961" s="41"/>
    </row>
    <row r="962">
      <c r="A962" s="24"/>
      <c r="B962" s="24"/>
      <c r="C962" s="24"/>
      <c r="D962" s="41"/>
    </row>
    <row r="963">
      <c r="A963" s="24"/>
      <c r="B963" s="24"/>
      <c r="C963" s="24"/>
      <c r="D963" s="41"/>
    </row>
    <row r="964">
      <c r="A964" s="24"/>
      <c r="B964" s="24"/>
      <c r="C964" s="24"/>
      <c r="D964" s="41"/>
    </row>
    <row r="965">
      <c r="A965" s="24"/>
      <c r="B965" s="24"/>
      <c r="C965" s="24"/>
      <c r="D965" s="41"/>
    </row>
    <row r="966">
      <c r="A966" s="24"/>
      <c r="B966" s="24"/>
      <c r="C966" s="24"/>
      <c r="D966" s="41"/>
    </row>
    <row r="967">
      <c r="A967" s="24"/>
      <c r="B967" s="24"/>
      <c r="C967" s="24"/>
      <c r="D967" s="41"/>
    </row>
    <row r="968">
      <c r="A968" s="24"/>
      <c r="B968" s="24"/>
      <c r="C968" s="24"/>
      <c r="D968" s="41"/>
    </row>
    <row r="969">
      <c r="A969" s="24"/>
      <c r="B969" s="24"/>
      <c r="C969" s="24"/>
      <c r="D969" s="41"/>
    </row>
    <row r="970">
      <c r="A970" s="24"/>
      <c r="B970" s="24"/>
      <c r="C970" s="24"/>
      <c r="D970" s="41"/>
    </row>
    <row r="971">
      <c r="A971" s="24"/>
      <c r="B971" s="24"/>
      <c r="C971" s="24"/>
      <c r="D971" s="41"/>
    </row>
    <row r="972">
      <c r="A972" s="24"/>
      <c r="B972" s="24"/>
      <c r="C972" s="24"/>
      <c r="D972" s="41"/>
    </row>
    <row r="973">
      <c r="A973" s="24"/>
      <c r="B973" s="24"/>
      <c r="C973" s="24"/>
      <c r="D973" s="41"/>
    </row>
    <row r="974">
      <c r="A974" s="24"/>
      <c r="B974" s="24"/>
      <c r="C974" s="24"/>
      <c r="D974" s="41"/>
    </row>
    <row r="975">
      <c r="A975" s="24"/>
      <c r="B975" s="24"/>
      <c r="C975" s="24"/>
      <c r="D975" s="41"/>
    </row>
    <row r="976">
      <c r="A976" s="24"/>
      <c r="B976" s="24"/>
      <c r="C976" s="24"/>
      <c r="D976" s="41"/>
    </row>
    <row r="977">
      <c r="A977" s="24"/>
      <c r="B977" s="24"/>
      <c r="C977" s="24"/>
      <c r="D977" s="41"/>
    </row>
    <row r="978">
      <c r="A978" s="24"/>
      <c r="B978" s="24"/>
      <c r="C978" s="24"/>
      <c r="D978" s="41"/>
    </row>
    <row r="979">
      <c r="A979" s="24"/>
      <c r="B979" s="24"/>
      <c r="C979" s="24"/>
      <c r="D979" s="41"/>
    </row>
    <row r="980">
      <c r="A980" s="24"/>
      <c r="B980" s="24"/>
      <c r="C980" s="24"/>
      <c r="D980" s="41"/>
    </row>
    <row r="981">
      <c r="A981" s="24"/>
      <c r="B981" s="24"/>
      <c r="C981" s="24"/>
      <c r="D981" s="41"/>
    </row>
    <row r="982">
      <c r="A982" s="24"/>
      <c r="B982" s="24"/>
      <c r="C982" s="24"/>
      <c r="D982" s="41"/>
    </row>
    <row r="983">
      <c r="A983" s="24"/>
      <c r="B983" s="24"/>
      <c r="C983" s="24"/>
      <c r="D983" s="41"/>
    </row>
    <row r="984">
      <c r="A984" s="24"/>
      <c r="B984" s="24"/>
      <c r="C984" s="24"/>
      <c r="D984" s="41"/>
    </row>
    <row r="985">
      <c r="A985" s="24"/>
      <c r="B985" s="24"/>
      <c r="C985" s="24"/>
      <c r="D985" s="41"/>
    </row>
    <row r="986">
      <c r="A986" s="24"/>
      <c r="B986" s="24"/>
      <c r="C986" s="24"/>
      <c r="D986" s="41"/>
    </row>
    <row r="987">
      <c r="A987" s="24"/>
      <c r="B987" s="24"/>
      <c r="C987" s="24"/>
      <c r="D987" s="41"/>
    </row>
    <row r="988">
      <c r="A988" s="24"/>
      <c r="B988" s="24"/>
      <c r="C988" s="24"/>
      <c r="D988" s="41"/>
    </row>
    <row r="989">
      <c r="A989" s="24"/>
      <c r="B989" s="24"/>
      <c r="C989" s="24"/>
      <c r="D989" s="41"/>
    </row>
    <row r="990">
      <c r="A990" s="24"/>
      <c r="B990" s="24"/>
      <c r="C990" s="24"/>
      <c r="D990" s="41"/>
    </row>
    <row r="991">
      <c r="A991" s="24"/>
      <c r="B991" s="24"/>
      <c r="C991" s="24"/>
      <c r="D991" s="41"/>
    </row>
    <row r="992">
      <c r="A992" s="24"/>
      <c r="B992" s="24"/>
      <c r="C992" s="24"/>
      <c r="D992" s="41"/>
    </row>
    <row r="993">
      <c r="A993" s="24"/>
      <c r="B993" s="24"/>
      <c r="C993" s="24"/>
      <c r="D993" s="41"/>
    </row>
    <row r="994">
      <c r="A994" s="24"/>
      <c r="B994" s="24"/>
      <c r="C994" s="24"/>
      <c r="D994" s="41"/>
    </row>
    <row r="995">
      <c r="A995" s="24"/>
      <c r="B995" s="24"/>
      <c r="C995" s="24"/>
      <c r="D995" s="41"/>
    </row>
    <row r="996">
      <c r="A996" s="24"/>
      <c r="B996" s="24"/>
      <c r="C996" s="24"/>
      <c r="D996" s="41"/>
    </row>
    <row r="997">
      <c r="A997" s="24"/>
      <c r="B997" s="24"/>
      <c r="C997" s="24"/>
      <c r="D997" s="41"/>
    </row>
    <row r="998">
      <c r="A998" s="24"/>
      <c r="B998" s="24"/>
      <c r="C998" s="24"/>
      <c r="D998" s="41"/>
    </row>
    <row r="999">
      <c r="A999" s="24"/>
      <c r="B999" s="24"/>
      <c r="C999" s="24"/>
      <c r="D999" s="41"/>
    </row>
    <row r="1000">
      <c r="A1000" s="24"/>
      <c r="B1000" s="24"/>
      <c r="C1000" s="24"/>
      <c r="D1000" s="41"/>
    </row>
    <row r="1001">
      <c r="A1001" s="24"/>
      <c r="B1001" s="24"/>
      <c r="C1001" s="24"/>
      <c r="D1001" s="41"/>
    </row>
  </sheetData>
  <mergeCells count="1">
    <mergeCell ref="A1:C1"/>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0"/>
  </cols>
  <sheetData>
    <row r="1">
      <c r="A1" s="56" t="s">
        <v>527</v>
      </c>
    </row>
    <row r="2">
      <c r="A2" s="56" t="s">
        <v>94</v>
      </c>
    </row>
    <row r="3">
      <c r="A3" s="56" t="s">
        <v>27</v>
      </c>
    </row>
    <row r="4">
      <c r="A4" s="56" t="s">
        <v>384</v>
      </c>
    </row>
    <row r="5">
      <c r="A5" s="56" t="s">
        <v>262</v>
      </c>
    </row>
    <row r="6">
      <c r="A6" s="56" t="s">
        <v>178</v>
      </c>
    </row>
    <row r="7">
      <c r="A7" s="56" t="s">
        <v>135</v>
      </c>
    </row>
    <row r="8">
      <c r="A8" s="56" t="s">
        <v>367</v>
      </c>
    </row>
    <row r="9">
      <c r="A9" s="56" t="s">
        <v>75</v>
      </c>
    </row>
    <row r="10">
      <c r="A10" s="56" t="s">
        <v>51</v>
      </c>
    </row>
    <row r="11">
      <c r="A11" s="56" t="s">
        <v>256</v>
      </c>
    </row>
    <row r="12">
      <c r="A12" s="56" t="s">
        <v>238</v>
      </c>
    </row>
    <row r="13">
      <c r="A13" s="56" t="s">
        <v>249</v>
      </c>
    </row>
    <row r="14">
      <c r="A14" s="56" t="s">
        <v>28</v>
      </c>
    </row>
    <row r="15">
      <c r="A15" s="56" t="s">
        <v>68</v>
      </c>
    </row>
    <row r="16">
      <c r="A16" s="56" t="s">
        <v>186</v>
      </c>
    </row>
    <row r="17">
      <c r="A17" s="56" t="s">
        <v>99</v>
      </c>
    </row>
    <row r="18">
      <c r="A18" s="56" t="s">
        <v>125</v>
      </c>
    </row>
    <row r="19">
      <c r="A19" s="56" t="s">
        <v>249</v>
      </c>
    </row>
    <row r="20">
      <c r="A20" s="56" t="s">
        <v>194</v>
      </c>
    </row>
    <row r="21">
      <c r="A21" s="56" t="s">
        <v>58</v>
      </c>
    </row>
    <row r="22">
      <c r="A22" s="56" t="s">
        <v>323</v>
      </c>
    </row>
    <row r="23">
      <c r="A23" s="56" t="s">
        <v>728</v>
      </c>
    </row>
    <row r="24">
      <c r="A24" s="56" t="s">
        <v>729</v>
      </c>
    </row>
    <row r="25">
      <c r="A25" s="56" t="s">
        <v>348</v>
      </c>
    </row>
    <row r="26">
      <c r="A26" s="56" t="s">
        <v>730</v>
      </c>
    </row>
    <row r="27">
      <c r="A27" s="56" t="s">
        <v>275</v>
      </c>
    </row>
    <row r="28">
      <c r="A28" s="56" t="s">
        <v>299</v>
      </c>
    </row>
    <row r="29">
      <c r="A29" s="56" t="s">
        <v>731</v>
      </c>
    </row>
    <row r="30">
      <c r="A30" s="56" t="s">
        <v>341</v>
      </c>
    </row>
    <row r="31">
      <c r="A31" s="56" t="s">
        <v>385</v>
      </c>
    </row>
  </sheetData>
  <hyperlinks>
    <hyperlink r:id="rId1" ref="A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s>
  <drawing r:id="rId32"/>
</worksheet>
</file>